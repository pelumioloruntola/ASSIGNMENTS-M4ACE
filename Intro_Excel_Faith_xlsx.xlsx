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8_{47DD7921-7220-4E85-A872-8A60BB21DF6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TaxesOwed">Sheet1!$F$2:$F$71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It5Lv/YflHcFXvIsUClD3cQCR1j5sKJi1AqcfQyPV5A="/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E76" i="1" l="1"/>
  <c r="F2" i="1"/>
  <c r="E74" i="1"/>
  <c r="E73" i="1"/>
  <c r="E72" i="1"/>
  <c r="E75" i="1" s="1"/>
  <c r="F76" i="1" l="1"/>
  <c r="F75" i="1"/>
  <c r="F74" i="1"/>
  <c r="F73" i="1"/>
  <c r="F72" i="1"/>
</calcChain>
</file>

<file path=xl/sharedStrings.xml><?xml version="1.0" encoding="utf-8"?>
<sst xmlns="http://schemas.openxmlformats.org/spreadsheetml/2006/main" count="83" uniqueCount="82">
  <si>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</si>
  <si>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</si>
  <si>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</si>
  <si>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</si>
  <si>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</si>
  <si>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</si>
  <si>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</si>
  <si>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Hello</t>
  </si>
  <si>
    <t>Julia</t>
  </si>
  <si>
    <t>James</t>
  </si>
  <si>
    <t>Amelia</t>
  </si>
  <si>
    <t>Freddy</t>
  </si>
  <si>
    <t>Jeff</t>
  </si>
  <si>
    <t>Jefferson</t>
  </si>
  <si>
    <t>Clifford</t>
  </si>
  <si>
    <t>Janay</t>
  </si>
  <si>
    <t>Tanisha</t>
  </si>
  <si>
    <t>Tre</t>
  </si>
  <si>
    <t>Ariana</t>
  </si>
  <si>
    <t>Marisela</t>
  </si>
  <si>
    <t>Adrienne</t>
  </si>
  <si>
    <t>Keegan</t>
  </si>
  <si>
    <t>Nestor</t>
  </si>
  <si>
    <t>Mari</t>
  </si>
  <si>
    <t>Jerod</t>
  </si>
  <si>
    <t>Graciela</t>
  </si>
  <si>
    <t>Kenan</t>
  </si>
  <si>
    <t>Andrea</t>
  </si>
  <si>
    <t>Kolton</t>
  </si>
  <si>
    <t>Dangelo</t>
  </si>
  <si>
    <t>Louis</t>
  </si>
  <si>
    <t>Kerry</t>
  </si>
  <si>
    <t>Anne</t>
  </si>
  <si>
    <t>Keisha</t>
  </si>
  <si>
    <t>Dymond</t>
  </si>
  <si>
    <t>Ingrid</t>
  </si>
  <si>
    <t>Jaime</t>
  </si>
  <si>
    <t>Lilly</t>
  </si>
  <si>
    <t>Rogelio</t>
  </si>
  <si>
    <t>Joshua</t>
  </si>
  <si>
    <t>Lindsay</t>
  </si>
  <si>
    <t>Audra</t>
  </si>
  <si>
    <t>Aubrie</t>
  </si>
  <si>
    <t>Pranav</t>
  </si>
  <si>
    <t>Jordyn</t>
  </si>
  <si>
    <t>Macie</t>
  </si>
  <si>
    <t>Glen</t>
  </si>
  <si>
    <t>Zayne</t>
  </si>
  <si>
    <t>Samuel</t>
  </si>
  <si>
    <t>Ester</t>
  </si>
  <si>
    <t>Leandra</t>
  </si>
  <si>
    <t>Emma</t>
  </si>
  <si>
    <t>Efrain</t>
  </si>
  <si>
    <t>Phillip</t>
  </si>
  <si>
    <t>Judah</t>
  </si>
  <si>
    <t>Keaton</t>
  </si>
  <si>
    <t>Kavon</t>
  </si>
  <si>
    <t>Allan</t>
  </si>
  <si>
    <t>Jacinda</t>
  </si>
  <si>
    <t>Caden</t>
  </si>
  <si>
    <t>Tanya</t>
  </si>
  <si>
    <t>Rosalinda</t>
  </si>
  <si>
    <t>Raekwon</t>
  </si>
  <si>
    <t>Jude</t>
  </si>
  <si>
    <t>Dante</t>
  </si>
  <si>
    <t>Jayden</t>
  </si>
  <si>
    <t>Tianna</t>
  </si>
  <si>
    <t>Dean Ling</t>
  </si>
  <si>
    <t>Danae</t>
  </si>
  <si>
    <t>Alvaro</t>
  </si>
  <si>
    <t>Jayce</t>
  </si>
  <si>
    <t>Tanner</t>
  </si>
  <si>
    <t>Derek</t>
  </si>
  <si>
    <t>Ellie</t>
  </si>
  <si>
    <t>Alek</t>
  </si>
  <si>
    <t>Riya</t>
  </si>
  <si>
    <t>Cortney</t>
  </si>
  <si>
    <t>Total:</t>
  </si>
  <si>
    <t>Average:</t>
  </si>
  <si>
    <t>Highest:</t>
  </si>
  <si>
    <t>Lowest:</t>
  </si>
  <si>
    <t>Number of employees: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</si>
</sst>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scheme val="minor"/>
    </font>
    <font>
      <b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  <xf numFmtId="0" fontId="2" fillId="0" borderId="0" xfId="0" applyFont="1"/>
    <xf numFmtId="49" fontId="3" fillId="0" borderId="0" xfId="0" applyNumberFormat="1" applyFont="1"/>
    <xf numFmtId="164" fontId="3" fillId="0" borderId="0" xfId="0" applyNumberFormat="1" applyFont="1"/>
    <xf numFmtId="44" fontId="3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164" fontId="1" fillId="0" borderId="0" xfId="0" applyNumberFormat="1" applyFont="1" applyAlignment="1">
      <alignment horizontal="right"/>
    </xf>
    <xf numFmtId="44" fontId="2" fillId="0" borderId="0" xfId="0" applyNumberFormat="1" applyFont="1"/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wrapText="1"/>
    </xf>
    <xf numFmtId="1" fontId="3" fillId="0" borderId="0" xfId="0" applyNumberFormat="1" applyFont="1" applyAlignment="1">
      <alignment horizontal="right"/>
    </xf>
    <xf numFmtId="0" fontId="5" fillId="0" borderId="0" xfId="0" applyFont="1" applyAlignment="1">
      <alignment horizontal="right" wrapText="1"/>
    </xf>
    <xf numFmtId="0" fontId="0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Summary Chart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Hourly Wage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Sheet1!$B$2:$B$71</c:f>
              <c:numCache>
                <c:formatCode>@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4AA-4671-95D1-940260E5D6B1}"/>
            </c:ext>
          </c:extLst>
        </c:ser>
        <c:ser>
          <c:idx val="1"/>
          <c:order val="1"/>
          <c:tx>
            <c:v>Hours Worked</c:v>
          </c:tx>
          <c:spPr>
            <a:solidFill>
              <a:srgbClr val="ED7D31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4AA-4671-95D1-940260E5D6B1}"/>
            </c:ext>
          </c:extLst>
        </c:ser>
        <c:ser>
          <c:idx val="2"/>
          <c:order val="2"/>
          <c:tx>
            <c:v> Taxable Income </c:v>
          </c:tx>
          <c:spPr>
            <a:solidFill>
              <a:srgbClr val="A5A5A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Sheet1!$D$2:$D$71</c:f>
              <c:numCache>
                <c:formatCode>General</c:formatCode>
                <c:ptCount val="70"/>
                <c:pt idx="0">
                  <c:v>158</c:v>
                </c:pt>
                <c:pt idx="1">
                  <c:v>160</c:v>
                </c:pt>
                <c:pt idx="2">
                  <c:v>125</c:v>
                </c:pt>
                <c:pt idx="3">
                  <c:v>165</c:v>
                </c:pt>
                <c:pt idx="4">
                  <c:v>144</c:v>
                </c:pt>
                <c:pt idx="5">
                  <c:v>174</c:v>
                </c:pt>
                <c:pt idx="6">
                  <c:v>161</c:v>
                </c:pt>
                <c:pt idx="7">
                  <c:v>69</c:v>
                </c:pt>
                <c:pt idx="8">
                  <c:v>85</c:v>
                </c:pt>
                <c:pt idx="9">
                  <c:v>117</c:v>
                </c:pt>
                <c:pt idx="10">
                  <c:v>160</c:v>
                </c:pt>
                <c:pt idx="11">
                  <c:v>152</c:v>
                </c:pt>
                <c:pt idx="12">
                  <c:v>129</c:v>
                </c:pt>
                <c:pt idx="13">
                  <c:v>74</c:v>
                </c:pt>
                <c:pt idx="14">
                  <c:v>111</c:v>
                </c:pt>
                <c:pt idx="15">
                  <c:v>132</c:v>
                </c:pt>
                <c:pt idx="16">
                  <c:v>168</c:v>
                </c:pt>
                <c:pt idx="17">
                  <c:v>187</c:v>
                </c:pt>
                <c:pt idx="18">
                  <c:v>70</c:v>
                </c:pt>
                <c:pt idx="19">
                  <c:v>138</c:v>
                </c:pt>
                <c:pt idx="20">
                  <c:v>72</c:v>
                </c:pt>
                <c:pt idx="21">
                  <c:v>130</c:v>
                </c:pt>
                <c:pt idx="22">
                  <c:v>208</c:v>
                </c:pt>
                <c:pt idx="23">
                  <c:v>97</c:v>
                </c:pt>
                <c:pt idx="24">
                  <c:v>199</c:v>
                </c:pt>
                <c:pt idx="25">
                  <c:v>160</c:v>
                </c:pt>
                <c:pt idx="26">
                  <c:v>156</c:v>
                </c:pt>
                <c:pt idx="27">
                  <c:v>117</c:v>
                </c:pt>
                <c:pt idx="28">
                  <c:v>76</c:v>
                </c:pt>
                <c:pt idx="29">
                  <c:v>175</c:v>
                </c:pt>
                <c:pt idx="30">
                  <c:v>87</c:v>
                </c:pt>
                <c:pt idx="31">
                  <c:v>130</c:v>
                </c:pt>
                <c:pt idx="32">
                  <c:v>185</c:v>
                </c:pt>
                <c:pt idx="33">
                  <c:v>152</c:v>
                </c:pt>
                <c:pt idx="34">
                  <c:v>186</c:v>
                </c:pt>
                <c:pt idx="35">
                  <c:v>96</c:v>
                </c:pt>
                <c:pt idx="36">
                  <c:v>100</c:v>
                </c:pt>
                <c:pt idx="37">
                  <c:v>124</c:v>
                </c:pt>
                <c:pt idx="38">
                  <c:v>71</c:v>
                </c:pt>
                <c:pt idx="39">
                  <c:v>83</c:v>
                </c:pt>
                <c:pt idx="40">
                  <c:v>168</c:v>
                </c:pt>
                <c:pt idx="41">
                  <c:v>165</c:v>
                </c:pt>
                <c:pt idx="42">
                  <c:v>145</c:v>
                </c:pt>
                <c:pt idx="43">
                  <c:v>133</c:v>
                </c:pt>
                <c:pt idx="44">
                  <c:v>92</c:v>
                </c:pt>
                <c:pt idx="45">
                  <c:v>74</c:v>
                </c:pt>
                <c:pt idx="46">
                  <c:v>201</c:v>
                </c:pt>
                <c:pt idx="47">
                  <c:v>112</c:v>
                </c:pt>
                <c:pt idx="48">
                  <c:v>166</c:v>
                </c:pt>
                <c:pt idx="49">
                  <c:v>160</c:v>
                </c:pt>
                <c:pt idx="50">
                  <c:v>117</c:v>
                </c:pt>
                <c:pt idx="51">
                  <c:v>152</c:v>
                </c:pt>
                <c:pt idx="52">
                  <c:v>129</c:v>
                </c:pt>
                <c:pt idx="53">
                  <c:v>74</c:v>
                </c:pt>
                <c:pt idx="54">
                  <c:v>111</c:v>
                </c:pt>
                <c:pt idx="55">
                  <c:v>132</c:v>
                </c:pt>
                <c:pt idx="56">
                  <c:v>168</c:v>
                </c:pt>
                <c:pt idx="57">
                  <c:v>187</c:v>
                </c:pt>
                <c:pt idx="58">
                  <c:v>70</c:v>
                </c:pt>
                <c:pt idx="59">
                  <c:v>138</c:v>
                </c:pt>
                <c:pt idx="60">
                  <c:v>72</c:v>
                </c:pt>
                <c:pt idx="61">
                  <c:v>130</c:v>
                </c:pt>
                <c:pt idx="62">
                  <c:v>208</c:v>
                </c:pt>
                <c:pt idx="63">
                  <c:v>97</c:v>
                </c:pt>
                <c:pt idx="64">
                  <c:v>199</c:v>
                </c:pt>
                <c:pt idx="65">
                  <c:v>160</c:v>
                </c:pt>
                <c:pt idx="66">
                  <c:v>156</c:v>
                </c:pt>
                <c:pt idx="67">
                  <c:v>117</c:v>
                </c:pt>
                <c:pt idx="68">
                  <c:v>76</c:v>
                </c:pt>
                <c:pt idx="69">
                  <c:v>175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B4AA-4671-95D1-940260E5D6B1}"/>
            </c:ext>
          </c:extLst>
        </c:ser>
        <c:ser>
          <c:idx val="3"/>
          <c:order val="3"/>
          <c:tx>
            <c:v> Taxes to Be Paid 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Sheet1!$E$2:$E$71</c:f>
              <c:numCache>
                <c:formatCode>_("$"* #,##0.00_);_("$"* \(#,##0.00\);_("$"* "-"??_);_(@_)</c:formatCode>
                <c:ptCount val="70"/>
                <c:pt idx="0">
                  <c:v>2251.5</c:v>
                </c:pt>
                <c:pt idx="1">
                  <c:v>2480</c:v>
                </c:pt>
                <c:pt idx="2">
                  <c:v>2000</c:v>
                </c:pt>
                <c:pt idx="3">
                  <c:v>2268.75</c:v>
                </c:pt>
                <c:pt idx="4">
                  <c:v>2232</c:v>
                </c:pt>
                <c:pt idx="5">
                  <c:v>2958</c:v>
                </c:pt>
                <c:pt idx="6">
                  <c:v>2213.75</c:v>
                </c:pt>
                <c:pt idx="7">
                  <c:v>1069.5</c:v>
                </c:pt>
                <c:pt idx="8">
                  <c:v>913.75</c:v>
                </c:pt>
                <c:pt idx="9">
                  <c:v>1813.5</c:v>
                </c:pt>
                <c:pt idx="10">
                  <c:v>1920</c:v>
                </c:pt>
                <c:pt idx="11">
                  <c:v>2356</c:v>
                </c:pt>
                <c:pt idx="12">
                  <c:v>1515.75</c:v>
                </c:pt>
                <c:pt idx="13">
                  <c:v>888</c:v>
                </c:pt>
                <c:pt idx="14">
                  <c:v>2109</c:v>
                </c:pt>
                <c:pt idx="15">
                  <c:v>2244</c:v>
                </c:pt>
                <c:pt idx="16">
                  <c:v>3192</c:v>
                </c:pt>
                <c:pt idx="17">
                  <c:v>2992</c:v>
                </c:pt>
                <c:pt idx="18">
                  <c:v>1260</c:v>
                </c:pt>
                <c:pt idx="19">
                  <c:v>2277</c:v>
                </c:pt>
                <c:pt idx="20">
                  <c:v>936</c:v>
                </c:pt>
                <c:pt idx="21">
                  <c:v>1560</c:v>
                </c:pt>
                <c:pt idx="22">
                  <c:v>3744</c:v>
                </c:pt>
                <c:pt idx="23">
                  <c:v>2134</c:v>
                </c:pt>
                <c:pt idx="24">
                  <c:v>6368</c:v>
                </c:pt>
                <c:pt idx="25">
                  <c:v>1760</c:v>
                </c:pt>
                <c:pt idx="26">
                  <c:v>2184</c:v>
                </c:pt>
                <c:pt idx="27">
                  <c:v>1813.5</c:v>
                </c:pt>
                <c:pt idx="28">
                  <c:v>1140</c:v>
                </c:pt>
                <c:pt idx="29">
                  <c:v>2100</c:v>
                </c:pt>
                <c:pt idx="30">
                  <c:v>1348.5</c:v>
                </c:pt>
                <c:pt idx="31">
                  <c:v>1527.5</c:v>
                </c:pt>
                <c:pt idx="32">
                  <c:v>2220</c:v>
                </c:pt>
                <c:pt idx="33">
                  <c:v>2888</c:v>
                </c:pt>
                <c:pt idx="34">
                  <c:v>3162</c:v>
                </c:pt>
                <c:pt idx="35">
                  <c:v>1824</c:v>
                </c:pt>
                <c:pt idx="36">
                  <c:v>1600</c:v>
                </c:pt>
                <c:pt idx="37">
                  <c:v>2232</c:v>
                </c:pt>
                <c:pt idx="38">
                  <c:v>1100.5</c:v>
                </c:pt>
                <c:pt idx="39">
                  <c:v>1162</c:v>
                </c:pt>
                <c:pt idx="40">
                  <c:v>2016</c:v>
                </c:pt>
                <c:pt idx="41">
                  <c:v>1815</c:v>
                </c:pt>
                <c:pt idx="42">
                  <c:v>1740</c:v>
                </c:pt>
                <c:pt idx="43">
                  <c:v>2061.5</c:v>
                </c:pt>
                <c:pt idx="44">
                  <c:v>1081</c:v>
                </c:pt>
                <c:pt idx="45">
                  <c:v>888</c:v>
                </c:pt>
                <c:pt idx="46">
                  <c:v>3819</c:v>
                </c:pt>
                <c:pt idx="47">
                  <c:v>1904</c:v>
                </c:pt>
                <c:pt idx="48">
                  <c:v>3154</c:v>
                </c:pt>
                <c:pt idx="49">
                  <c:v>2560</c:v>
                </c:pt>
                <c:pt idx="50">
                  <c:v>2106</c:v>
                </c:pt>
                <c:pt idx="51">
                  <c:v>1748</c:v>
                </c:pt>
                <c:pt idx="52">
                  <c:v>1999.5</c:v>
                </c:pt>
                <c:pt idx="53">
                  <c:v>1147</c:v>
                </c:pt>
                <c:pt idx="54">
                  <c:v>1332</c:v>
                </c:pt>
                <c:pt idx="55">
                  <c:v>2046</c:v>
                </c:pt>
                <c:pt idx="56">
                  <c:v>1974</c:v>
                </c:pt>
                <c:pt idx="57">
                  <c:v>2244</c:v>
                </c:pt>
                <c:pt idx="58">
                  <c:v>1330</c:v>
                </c:pt>
                <c:pt idx="59">
                  <c:v>2346</c:v>
                </c:pt>
                <c:pt idx="60">
                  <c:v>1368</c:v>
                </c:pt>
                <c:pt idx="61">
                  <c:v>2080</c:v>
                </c:pt>
                <c:pt idx="62">
                  <c:v>3744</c:v>
                </c:pt>
                <c:pt idx="63">
                  <c:v>1067</c:v>
                </c:pt>
                <c:pt idx="64">
                  <c:v>3084.5</c:v>
                </c:pt>
                <c:pt idx="65">
                  <c:v>1760</c:v>
                </c:pt>
                <c:pt idx="66">
                  <c:v>1872</c:v>
                </c:pt>
                <c:pt idx="67">
                  <c:v>1813.5</c:v>
                </c:pt>
                <c:pt idx="68">
                  <c:v>836</c:v>
                </c:pt>
                <c:pt idx="69">
                  <c:v>2100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4AA-4671-95D1-940260E5D6B1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 Taxes to Be Paid </c:v>
                </c:pt>
              </c:strCache>
            </c:strRef>
          </c:tx>
          <c:invertIfNegative val="1"/>
          <c:cat>
            <c:numRef>
              <c:f>Sheet1!$A$2:$A$71</c:f>
              <c:numCache>
                <c:formatCode>General</c:formatCode>
                <c:ptCount val="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</c:numCache>
            </c:num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AA-4671-95D1-940260E5D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500198"/>
        <c:axId val="1236641007"/>
      </c:barChart>
      <c:catAx>
        <c:axId val="16515001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Employees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36641007"/>
        <c:crosses val="autoZero"/>
        <c:auto val="1"/>
        <c:lblAlgn val="ctr"/>
        <c:lblOffset val="100"/>
        <c:noMultiLvlLbl val="1"/>
      </c:catAx>
      <c:valAx>
        <c:axId val="12366410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sz="1000" b="0" i="0">
                    <a:solidFill>
                      <a:srgbClr val="000000"/>
                    </a:solidFill>
                    <a:latin typeface="+mn-lt"/>
                  </a:rPr>
                  <a:t>Taxable Income, Taxes Owed, etc.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5150019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409575</xdr:colOff>
      <xdr:row>7</xdr:row>
      <xdr:rowOff>171450</xdr:rowOff>
    </xdr:from>
    <xdr:ext cx="4219575" cy="2314575"/>
    <xdr:graphicFrame macro="">
      <xdr:nvGraphicFramePr>
        <xdr:cNvPr id="18183081" name="Chart 1" title="Chart">
          <a:extLst>
            <a:ext uri="{FF2B5EF4-FFF2-40B4-BE49-F238E27FC236}">
              <a16:creationId xmlns:a16="http://schemas.microsoft.com/office/drawing/2014/main" id="{00000000-0008-0000-0000-0000A97315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58" workbookViewId="0">
      <selection activeCell="D76" sqref="D76"/>
    </sheetView>
  </sheetViews>
  <sheetFormatPr defaultColWidth="14.42578125" defaultRowHeight="15" customHeight="1"/>
  <cols>
    <col min="1" max="1" width="10.5703125" customWidth="1"/>
    <col min="2" max="2" width="8.5703125" style="6" customWidth="1"/>
    <col min="3" max="3" width="10.85546875" style="7" customWidth="1"/>
    <col min="4" max="4" width="12.140625" customWidth="1"/>
    <col min="5" max="5" width="13.140625" style="8" customWidth="1"/>
    <col min="6" max="6" width="13.42578125" style="8" customWidth="1"/>
    <col min="7" max="10" width="8.7109375" customWidth="1"/>
    <col min="11" max="11" width="21.85546875" customWidth="1"/>
    <col min="12" max="12" width="17.7109375" customWidth="1"/>
    <col min="13" max="26" width="8.7109375" customWidth="1"/>
  </cols>
  <sheetData>
    <row r="1" spans="1:26" ht="14.2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>
        <v>7.0000000000000007E-2</v>
      </c>
      <c r="I1" s="1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5">
        <v>1</v>
      </c>
      <c r="B2" s="6" t="s">
        <v>8</v>
      </c>
      <c r="C2" s="7">
        <v>14.25</v>
      </c>
      <c r="D2" s="5">
        <v>158</v>
      </c>
      <c r="E2" s="8">
        <f t="shared" ref="E2:E71" si="0">C2*D2</f>
        <v>2251.5</v>
      </c>
      <c r="F2" s="8">
        <f>E2*H1</f>
        <v>157.60500000000002</v>
      </c>
    </row>
    <row r="3" spans="1:26" ht="14.25" customHeight="1">
      <c r="A3" s="5">
        <v>2</v>
      </c>
      <c r="B3" s="6" t="s">
        <v>9</v>
      </c>
      <c r="C3" s="7">
        <v>15.5</v>
      </c>
      <c r="D3" s="5">
        <v>160</v>
      </c>
      <c r="E3" s="8">
        <f t="shared" si="0"/>
        <v>2480</v>
      </c>
      <c r="F3" s="8">
        <f t="shared" ref="F3:F71" si="1">E3*$H$1</f>
        <v>173.60000000000002</v>
      </c>
    </row>
    <row r="4" spans="1:26" ht="14.25" customHeight="1">
      <c r="A4" s="5">
        <v>3</v>
      </c>
      <c r="B4" s="6" t="s">
        <v>10</v>
      </c>
      <c r="C4" s="7">
        <v>16</v>
      </c>
      <c r="D4" s="5">
        <v>125</v>
      </c>
      <c r="E4" s="8">
        <f t="shared" si="0"/>
        <v>2000</v>
      </c>
      <c r="F4" s="8">
        <f t="shared" si="1"/>
        <v>140</v>
      </c>
    </row>
    <row r="5" spans="1:26" ht="14.25" customHeight="1">
      <c r="A5" s="5">
        <v>4</v>
      </c>
      <c r="B5" s="6" t="s">
        <v>11</v>
      </c>
      <c r="C5" s="7">
        <v>13.75</v>
      </c>
      <c r="D5" s="5">
        <v>165</v>
      </c>
      <c r="E5" s="8">
        <f t="shared" si="0"/>
        <v>2268.75</v>
      </c>
      <c r="F5" s="8">
        <f t="shared" si="1"/>
        <v>158.81250000000003</v>
      </c>
      <c r="K5" s="9"/>
      <c r="L5" s="9"/>
    </row>
    <row r="6" spans="1:26" ht="14.25" customHeight="1">
      <c r="A6" s="5">
        <v>5</v>
      </c>
      <c r="B6" s="6" t="s">
        <v>12</v>
      </c>
      <c r="C6" s="7">
        <v>15.5</v>
      </c>
      <c r="D6" s="5">
        <v>144</v>
      </c>
      <c r="E6" s="8">
        <f t="shared" si="0"/>
        <v>2232</v>
      </c>
      <c r="F6" s="8">
        <f t="shared" si="1"/>
        <v>156.24</v>
      </c>
    </row>
    <row r="7" spans="1:26" ht="14.25" customHeight="1">
      <c r="A7" s="5">
        <v>6</v>
      </c>
      <c r="B7" s="6" t="s">
        <v>13</v>
      </c>
      <c r="C7" s="7">
        <v>17</v>
      </c>
      <c r="D7" s="5">
        <v>174</v>
      </c>
      <c r="E7" s="8">
        <f t="shared" si="0"/>
        <v>2958</v>
      </c>
      <c r="F7" s="8">
        <f t="shared" si="1"/>
        <v>207.06000000000003</v>
      </c>
      <c r="K7" s="10"/>
    </row>
    <row r="8" spans="1:26" ht="14.25" customHeight="1">
      <c r="A8" s="5">
        <v>7</v>
      </c>
      <c r="B8" s="6" t="s">
        <v>14</v>
      </c>
      <c r="C8" s="7">
        <v>13.75</v>
      </c>
      <c r="D8" s="5">
        <v>161</v>
      </c>
      <c r="E8" s="8">
        <f t="shared" si="0"/>
        <v>2213.75</v>
      </c>
      <c r="F8" s="8">
        <f t="shared" si="1"/>
        <v>154.96250000000001</v>
      </c>
      <c r="K8" s="10"/>
    </row>
    <row r="9" spans="1:26" ht="14.25" customHeight="1">
      <c r="A9" s="5">
        <v>8</v>
      </c>
      <c r="B9" s="6" t="s">
        <v>15</v>
      </c>
      <c r="C9" s="7">
        <v>15.5</v>
      </c>
      <c r="D9" s="5">
        <v>69</v>
      </c>
      <c r="E9" s="8">
        <f t="shared" si="0"/>
        <v>1069.5</v>
      </c>
      <c r="F9" s="8">
        <f t="shared" si="1"/>
        <v>74.865000000000009</v>
      </c>
      <c r="K9" s="10"/>
    </row>
    <row r="10" spans="1:26" ht="14.25" customHeight="1">
      <c r="A10" s="5">
        <v>9</v>
      </c>
      <c r="B10" s="6" t="s">
        <v>16</v>
      </c>
      <c r="C10" s="7">
        <v>10.75</v>
      </c>
      <c r="D10" s="5">
        <v>85</v>
      </c>
      <c r="E10" s="8">
        <f t="shared" si="0"/>
        <v>913.75</v>
      </c>
      <c r="F10" s="8">
        <f t="shared" si="1"/>
        <v>63.962500000000006</v>
      </c>
      <c r="K10" s="10"/>
    </row>
    <row r="11" spans="1:26" ht="14.25" customHeight="1">
      <c r="A11" s="5">
        <v>10</v>
      </c>
      <c r="B11" s="6" t="s">
        <v>17</v>
      </c>
      <c r="C11" s="7">
        <v>15.5</v>
      </c>
      <c r="D11" s="5">
        <v>117</v>
      </c>
      <c r="E11" s="8">
        <f t="shared" si="0"/>
        <v>1813.5</v>
      </c>
      <c r="F11" s="8">
        <f t="shared" si="1"/>
        <v>126.94500000000001</v>
      </c>
    </row>
    <row r="12" spans="1:26" ht="14.25" customHeight="1">
      <c r="A12" s="5">
        <v>11</v>
      </c>
      <c r="B12" s="6" t="s">
        <v>18</v>
      </c>
      <c r="C12" s="7">
        <v>12</v>
      </c>
      <c r="D12" s="5">
        <v>160</v>
      </c>
      <c r="E12" s="8">
        <f t="shared" si="0"/>
        <v>1920</v>
      </c>
      <c r="F12" s="8">
        <f t="shared" si="1"/>
        <v>134.4</v>
      </c>
    </row>
    <row r="13" spans="1:26" ht="14.25" customHeight="1">
      <c r="A13" s="5">
        <v>12</v>
      </c>
      <c r="B13" s="6" t="s">
        <v>19</v>
      </c>
      <c r="C13" s="7">
        <v>15.5</v>
      </c>
      <c r="D13" s="5">
        <v>152</v>
      </c>
      <c r="E13" s="8">
        <f t="shared" si="0"/>
        <v>2356</v>
      </c>
      <c r="F13" s="8">
        <f t="shared" si="1"/>
        <v>164.92000000000002</v>
      </c>
    </row>
    <row r="14" spans="1:26" ht="14.25" customHeight="1">
      <c r="A14" s="5">
        <v>13</v>
      </c>
      <c r="B14" s="6" t="s">
        <v>20</v>
      </c>
      <c r="C14" s="7">
        <v>11.75</v>
      </c>
      <c r="D14" s="5">
        <v>129</v>
      </c>
      <c r="E14" s="8">
        <f t="shared" si="0"/>
        <v>1515.75</v>
      </c>
      <c r="F14" s="8">
        <f t="shared" si="1"/>
        <v>106.10250000000001</v>
      </c>
    </row>
    <row r="15" spans="1:26" ht="14.25" customHeight="1">
      <c r="A15" s="5">
        <v>14</v>
      </c>
      <c r="B15" s="6" t="s">
        <v>21</v>
      </c>
      <c r="C15" s="7">
        <v>12</v>
      </c>
      <c r="D15" s="5">
        <v>74</v>
      </c>
      <c r="E15" s="8">
        <f t="shared" si="0"/>
        <v>888</v>
      </c>
      <c r="F15" s="8">
        <f t="shared" si="1"/>
        <v>62.160000000000004</v>
      </c>
    </row>
    <row r="16" spans="1:26" ht="14.25" customHeight="1">
      <c r="A16" s="5">
        <v>15</v>
      </c>
      <c r="B16" s="6" t="s">
        <v>22</v>
      </c>
      <c r="C16" s="7">
        <v>19</v>
      </c>
      <c r="D16" s="5">
        <v>111</v>
      </c>
      <c r="E16" s="8">
        <f t="shared" si="0"/>
        <v>2109</v>
      </c>
      <c r="F16" s="8">
        <f t="shared" si="1"/>
        <v>147.63000000000002</v>
      </c>
    </row>
    <row r="17" spans="1:6" ht="14.25" customHeight="1">
      <c r="A17" s="5">
        <v>16</v>
      </c>
      <c r="B17" s="6" t="s">
        <v>23</v>
      </c>
      <c r="C17" s="7">
        <v>17</v>
      </c>
      <c r="D17" s="5">
        <v>132</v>
      </c>
      <c r="E17" s="8">
        <f t="shared" si="0"/>
        <v>2244</v>
      </c>
      <c r="F17" s="8">
        <f t="shared" si="1"/>
        <v>157.08000000000001</v>
      </c>
    </row>
    <row r="18" spans="1:6" ht="14.25" customHeight="1">
      <c r="A18" s="5">
        <v>17</v>
      </c>
      <c r="B18" s="6" t="s">
        <v>24</v>
      </c>
      <c r="C18" s="7">
        <v>19</v>
      </c>
      <c r="D18" s="5">
        <v>168</v>
      </c>
      <c r="E18" s="8">
        <f t="shared" si="0"/>
        <v>3192</v>
      </c>
      <c r="F18" s="8">
        <f t="shared" si="1"/>
        <v>223.44000000000003</v>
      </c>
    </row>
    <row r="19" spans="1:6" ht="14.25" customHeight="1">
      <c r="A19" s="5">
        <v>18</v>
      </c>
      <c r="B19" s="6" t="s">
        <v>25</v>
      </c>
      <c r="C19" s="7">
        <v>16</v>
      </c>
      <c r="D19" s="5">
        <v>187</v>
      </c>
      <c r="E19" s="8">
        <f t="shared" si="0"/>
        <v>2992</v>
      </c>
      <c r="F19" s="8">
        <f t="shared" si="1"/>
        <v>209.44000000000003</v>
      </c>
    </row>
    <row r="20" spans="1:6" ht="14.25" customHeight="1">
      <c r="A20" s="5">
        <v>19</v>
      </c>
      <c r="B20" s="6" t="s">
        <v>26</v>
      </c>
      <c r="C20" s="7">
        <v>18</v>
      </c>
      <c r="D20" s="5">
        <v>70</v>
      </c>
      <c r="E20" s="8">
        <f t="shared" si="0"/>
        <v>1260</v>
      </c>
      <c r="F20" s="8">
        <f t="shared" si="1"/>
        <v>88.2</v>
      </c>
    </row>
    <row r="21" spans="1:6" ht="14.25" customHeight="1">
      <c r="A21" s="5">
        <v>20</v>
      </c>
      <c r="B21" s="6" t="s">
        <v>27</v>
      </c>
      <c r="C21" s="7">
        <v>16.5</v>
      </c>
      <c r="D21" s="5">
        <v>138</v>
      </c>
      <c r="E21" s="8">
        <f t="shared" si="0"/>
        <v>2277</v>
      </c>
      <c r="F21" s="8">
        <f t="shared" si="1"/>
        <v>159.39000000000001</v>
      </c>
    </row>
    <row r="22" spans="1:6" ht="14.25" customHeight="1">
      <c r="A22" s="5">
        <v>21</v>
      </c>
      <c r="B22" s="6" t="s">
        <v>28</v>
      </c>
      <c r="C22" s="7">
        <v>13</v>
      </c>
      <c r="D22" s="5">
        <v>72</v>
      </c>
      <c r="E22" s="8">
        <f t="shared" si="0"/>
        <v>936</v>
      </c>
      <c r="F22" s="8">
        <f t="shared" si="1"/>
        <v>65.52000000000001</v>
      </c>
    </row>
    <row r="23" spans="1:6" ht="14.25" customHeight="1">
      <c r="A23" s="5">
        <v>22</v>
      </c>
      <c r="B23" s="6" t="s">
        <v>29</v>
      </c>
      <c r="C23" s="7">
        <v>12</v>
      </c>
      <c r="D23" s="5">
        <v>130</v>
      </c>
      <c r="E23" s="8">
        <f t="shared" si="0"/>
        <v>1560</v>
      </c>
      <c r="F23" s="8">
        <f t="shared" si="1"/>
        <v>109.20000000000002</v>
      </c>
    </row>
    <row r="24" spans="1:6" ht="14.25" customHeight="1">
      <c r="A24" s="5">
        <v>23</v>
      </c>
      <c r="B24" s="6" t="s">
        <v>30</v>
      </c>
      <c r="C24" s="7">
        <v>18</v>
      </c>
      <c r="D24" s="5">
        <v>208</v>
      </c>
      <c r="E24" s="8">
        <f t="shared" si="0"/>
        <v>3744</v>
      </c>
      <c r="F24" s="8">
        <f t="shared" si="1"/>
        <v>262.08000000000004</v>
      </c>
    </row>
    <row r="25" spans="1:6" ht="14.25" customHeight="1">
      <c r="A25" s="5">
        <v>24</v>
      </c>
      <c r="B25" s="6" t="s">
        <v>31</v>
      </c>
      <c r="C25" s="7">
        <v>22</v>
      </c>
      <c r="D25" s="5">
        <v>97</v>
      </c>
      <c r="E25" s="8">
        <f t="shared" si="0"/>
        <v>2134</v>
      </c>
      <c r="F25" s="8">
        <f t="shared" si="1"/>
        <v>149.38000000000002</v>
      </c>
    </row>
    <row r="26" spans="1:6" ht="14.25" customHeight="1">
      <c r="A26" s="5">
        <v>25</v>
      </c>
      <c r="B26" s="6" t="s">
        <v>32</v>
      </c>
      <c r="C26" s="7">
        <v>32</v>
      </c>
      <c r="D26" s="5">
        <v>199</v>
      </c>
      <c r="E26" s="8">
        <f t="shared" si="0"/>
        <v>6368</v>
      </c>
      <c r="F26" s="8">
        <f t="shared" si="1"/>
        <v>445.76000000000005</v>
      </c>
    </row>
    <row r="27" spans="1:6" ht="14.25" customHeight="1">
      <c r="A27" s="5">
        <v>26</v>
      </c>
      <c r="B27" s="6" t="s">
        <v>29</v>
      </c>
      <c r="C27" s="7">
        <v>11</v>
      </c>
      <c r="D27" s="5">
        <v>160</v>
      </c>
      <c r="E27" s="8">
        <f t="shared" si="0"/>
        <v>1760</v>
      </c>
      <c r="F27" s="8">
        <f t="shared" si="1"/>
        <v>123.20000000000002</v>
      </c>
    </row>
    <row r="28" spans="1:6" ht="14.25" customHeight="1">
      <c r="A28" s="5">
        <v>27</v>
      </c>
      <c r="B28" s="6" t="s">
        <v>33</v>
      </c>
      <c r="C28" s="7">
        <v>14</v>
      </c>
      <c r="D28" s="5">
        <v>156</v>
      </c>
      <c r="E28" s="8">
        <f t="shared" si="0"/>
        <v>2184</v>
      </c>
      <c r="F28" s="8">
        <f t="shared" si="1"/>
        <v>152.88000000000002</v>
      </c>
    </row>
    <row r="29" spans="1:6" ht="14.25" customHeight="1">
      <c r="A29" s="5">
        <v>28</v>
      </c>
      <c r="B29" s="6" t="s">
        <v>34</v>
      </c>
      <c r="C29" s="7">
        <v>15.5</v>
      </c>
      <c r="D29" s="5">
        <v>117</v>
      </c>
      <c r="E29" s="8">
        <f t="shared" si="0"/>
        <v>1813.5</v>
      </c>
      <c r="F29" s="8">
        <f t="shared" si="1"/>
        <v>126.94500000000001</v>
      </c>
    </row>
    <row r="30" spans="1:6" ht="14.25" customHeight="1">
      <c r="A30" s="5">
        <v>29</v>
      </c>
      <c r="B30" s="6" t="s">
        <v>35</v>
      </c>
      <c r="C30" s="7">
        <v>15</v>
      </c>
      <c r="D30" s="5">
        <v>76</v>
      </c>
      <c r="E30" s="8">
        <f t="shared" si="0"/>
        <v>1140</v>
      </c>
      <c r="F30" s="8">
        <f t="shared" si="1"/>
        <v>79.800000000000011</v>
      </c>
    </row>
    <row r="31" spans="1:6" ht="14.25" customHeight="1">
      <c r="A31" s="5">
        <v>30</v>
      </c>
      <c r="B31" s="6" t="s">
        <v>36</v>
      </c>
      <c r="C31" s="7">
        <v>12</v>
      </c>
      <c r="D31" s="5">
        <v>175</v>
      </c>
      <c r="E31" s="8">
        <f t="shared" si="0"/>
        <v>2100</v>
      </c>
      <c r="F31" s="8">
        <f t="shared" si="1"/>
        <v>147</v>
      </c>
    </row>
    <row r="32" spans="1:6" ht="14.25" customHeight="1">
      <c r="A32" s="5">
        <v>31</v>
      </c>
      <c r="B32" s="6" t="s">
        <v>37</v>
      </c>
      <c r="C32" s="7">
        <v>15.5</v>
      </c>
      <c r="D32" s="5">
        <v>87</v>
      </c>
      <c r="E32" s="8">
        <f t="shared" si="0"/>
        <v>1348.5</v>
      </c>
      <c r="F32" s="8">
        <f t="shared" si="1"/>
        <v>94.39500000000001</v>
      </c>
    </row>
    <row r="33" spans="1:6" ht="14.25" customHeight="1">
      <c r="A33" s="5">
        <v>32</v>
      </c>
      <c r="B33" s="6" t="s">
        <v>38</v>
      </c>
      <c r="C33" s="7">
        <v>11.75</v>
      </c>
      <c r="D33" s="5">
        <v>130</v>
      </c>
      <c r="E33" s="8">
        <f t="shared" si="0"/>
        <v>1527.5</v>
      </c>
      <c r="F33" s="8">
        <f t="shared" si="1"/>
        <v>106.92500000000001</v>
      </c>
    </row>
    <row r="34" spans="1:6" ht="14.25" customHeight="1">
      <c r="A34" s="5">
        <v>33</v>
      </c>
      <c r="B34" s="6" t="s">
        <v>39</v>
      </c>
      <c r="C34" s="7">
        <v>12</v>
      </c>
      <c r="D34" s="5">
        <v>185</v>
      </c>
      <c r="E34" s="8">
        <f t="shared" si="0"/>
        <v>2220</v>
      </c>
      <c r="F34" s="8">
        <f t="shared" si="1"/>
        <v>155.4</v>
      </c>
    </row>
    <row r="35" spans="1:6" ht="14.25" customHeight="1">
      <c r="A35" s="5">
        <v>34</v>
      </c>
      <c r="B35" s="6" t="s">
        <v>40</v>
      </c>
      <c r="C35" s="7">
        <v>19</v>
      </c>
      <c r="D35" s="5">
        <v>152</v>
      </c>
      <c r="E35" s="8">
        <f t="shared" si="0"/>
        <v>2888</v>
      </c>
      <c r="F35" s="8">
        <f t="shared" si="1"/>
        <v>202.16000000000003</v>
      </c>
    </row>
    <row r="36" spans="1:6" ht="14.25" customHeight="1">
      <c r="A36" s="5">
        <v>35</v>
      </c>
      <c r="B36" s="6" t="s">
        <v>41</v>
      </c>
      <c r="C36" s="7">
        <v>17</v>
      </c>
      <c r="D36" s="5">
        <v>186</v>
      </c>
      <c r="E36" s="8">
        <f t="shared" si="0"/>
        <v>3162</v>
      </c>
      <c r="F36" s="8">
        <f t="shared" si="1"/>
        <v>221.34000000000003</v>
      </c>
    </row>
    <row r="37" spans="1:6" ht="14.25" customHeight="1">
      <c r="A37" s="5">
        <v>36</v>
      </c>
      <c r="B37" s="6" t="s">
        <v>42</v>
      </c>
      <c r="C37" s="7">
        <v>19</v>
      </c>
      <c r="D37" s="5">
        <v>96</v>
      </c>
      <c r="E37" s="8">
        <f t="shared" si="0"/>
        <v>1824</v>
      </c>
      <c r="F37" s="8">
        <f t="shared" si="1"/>
        <v>127.68</v>
      </c>
    </row>
    <row r="38" spans="1:6" ht="14.25" customHeight="1">
      <c r="A38" s="5">
        <v>37</v>
      </c>
      <c r="B38" s="6" t="s">
        <v>43</v>
      </c>
      <c r="C38" s="7">
        <v>16</v>
      </c>
      <c r="D38" s="5">
        <v>100</v>
      </c>
      <c r="E38" s="8">
        <f t="shared" si="0"/>
        <v>1600</v>
      </c>
      <c r="F38" s="8">
        <f t="shared" si="1"/>
        <v>112.00000000000001</v>
      </c>
    </row>
    <row r="39" spans="1:6" ht="14.25" customHeight="1">
      <c r="A39" s="5">
        <v>38</v>
      </c>
      <c r="B39" s="6" t="s">
        <v>44</v>
      </c>
      <c r="C39" s="7">
        <v>18</v>
      </c>
      <c r="D39" s="5">
        <v>124</v>
      </c>
      <c r="E39" s="8">
        <f t="shared" si="0"/>
        <v>2232</v>
      </c>
      <c r="F39" s="8">
        <f t="shared" si="1"/>
        <v>156.24</v>
      </c>
    </row>
    <row r="40" spans="1:6" ht="14.25" customHeight="1">
      <c r="A40" s="5">
        <v>39</v>
      </c>
      <c r="B40" s="6" t="s">
        <v>45</v>
      </c>
      <c r="C40" s="7">
        <v>15.5</v>
      </c>
      <c r="D40" s="5">
        <v>71</v>
      </c>
      <c r="E40" s="8">
        <f t="shared" si="0"/>
        <v>1100.5</v>
      </c>
      <c r="F40" s="8">
        <f t="shared" si="1"/>
        <v>77.035000000000011</v>
      </c>
    </row>
    <row r="41" spans="1:6" ht="14.25" customHeight="1">
      <c r="A41" s="5">
        <v>40</v>
      </c>
      <c r="B41" s="6" t="s">
        <v>46</v>
      </c>
      <c r="C41" s="7">
        <v>14</v>
      </c>
      <c r="D41" s="5">
        <v>83</v>
      </c>
      <c r="E41" s="8">
        <f t="shared" si="0"/>
        <v>1162</v>
      </c>
      <c r="F41" s="8">
        <f t="shared" si="1"/>
        <v>81.34</v>
      </c>
    </row>
    <row r="42" spans="1:6" ht="14.25" customHeight="1">
      <c r="A42" s="5">
        <v>41</v>
      </c>
      <c r="B42" s="6" t="s">
        <v>47</v>
      </c>
      <c r="C42" s="7">
        <v>12</v>
      </c>
      <c r="D42" s="5">
        <v>168</v>
      </c>
      <c r="E42" s="8">
        <f t="shared" si="0"/>
        <v>2016</v>
      </c>
      <c r="F42" s="8">
        <f t="shared" si="1"/>
        <v>141.12</v>
      </c>
    </row>
    <row r="43" spans="1:6" ht="14.25" customHeight="1">
      <c r="A43" s="5">
        <v>42</v>
      </c>
      <c r="B43" s="6" t="s">
        <v>48</v>
      </c>
      <c r="C43" s="7">
        <v>11</v>
      </c>
      <c r="D43" s="5">
        <v>165</v>
      </c>
      <c r="E43" s="8">
        <f t="shared" si="0"/>
        <v>1815</v>
      </c>
      <c r="F43" s="8">
        <f t="shared" si="1"/>
        <v>127.05000000000001</v>
      </c>
    </row>
    <row r="44" spans="1:6" ht="14.25" customHeight="1">
      <c r="A44" s="5">
        <v>43</v>
      </c>
      <c r="B44" s="6" t="s">
        <v>49</v>
      </c>
      <c r="C44" s="7">
        <v>12</v>
      </c>
      <c r="D44" s="5">
        <v>145</v>
      </c>
      <c r="E44" s="8">
        <f t="shared" si="0"/>
        <v>1740</v>
      </c>
      <c r="F44" s="8">
        <f t="shared" si="1"/>
        <v>121.80000000000001</v>
      </c>
    </row>
    <row r="45" spans="1:6" ht="14.25" customHeight="1">
      <c r="A45" s="5">
        <v>44</v>
      </c>
      <c r="B45" s="6" t="s">
        <v>50</v>
      </c>
      <c r="C45" s="7">
        <v>15.5</v>
      </c>
      <c r="D45" s="5">
        <v>133</v>
      </c>
      <c r="E45" s="8">
        <f t="shared" si="0"/>
        <v>2061.5</v>
      </c>
      <c r="F45" s="8">
        <f t="shared" si="1"/>
        <v>144.30500000000001</v>
      </c>
    </row>
    <row r="46" spans="1:6" ht="14.25" customHeight="1">
      <c r="A46" s="5">
        <v>45</v>
      </c>
      <c r="B46" s="6" t="s">
        <v>51</v>
      </c>
      <c r="C46" s="7">
        <v>11.75</v>
      </c>
      <c r="D46" s="5">
        <v>92</v>
      </c>
      <c r="E46" s="8">
        <f t="shared" si="0"/>
        <v>1081</v>
      </c>
      <c r="F46" s="8">
        <f t="shared" si="1"/>
        <v>75.67</v>
      </c>
    </row>
    <row r="47" spans="1:6" ht="14.25" customHeight="1">
      <c r="A47" s="5">
        <v>46</v>
      </c>
      <c r="B47" s="6" t="s">
        <v>52</v>
      </c>
      <c r="C47" s="7">
        <v>12</v>
      </c>
      <c r="D47" s="5">
        <v>74</v>
      </c>
      <c r="E47" s="8">
        <f t="shared" si="0"/>
        <v>888</v>
      </c>
      <c r="F47" s="8">
        <f t="shared" si="1"/>
        <v>62.160000000000004</v>
      </c>
    </row>
    <row r="48" spans="1:6" ht="14.25" customHeight="1">
      <c r="A48" s="5">
        <v>47</v>
      </c>
      <c r="B48" s="6" t="s">
        <v>53</v>
      </c>
      <c r="C48" s="7">
        <v>19</v>
      </c>
      <c r="D48" s="5">
        <v>201</v>
      </c>
      <c r="E48" s="8">
        <f t="shared" si="0"/>
        <v>3819</v>
      </c>
      <c r="F48" s="8">
        <f t="shared" si="1"/>
        <v>267.33000000000004</v>
      </c>
    </row>
    <row r="49" spans="1:6" ht="14.25" customHeight="1">
      <c r="A49" s="5">
        <v>48</v>
      </c>
      <c r="B49" s="6" t="s">
        <v>54</v>
      </c>
      <c r="C49" s="7">
        <v>17</v>
      </c>
      <c r="D49" s="5">
        <v>112</v>
      </c>
      <c r="E49" s="8">
        <f t="shared" si="0"/>
        <v>1904</v>
      </c>
      <c r="F49" s="8">
        <f t="shared" si="1"/>
        <v>133.28</v>
      </c>
    </row>
    <row r="50" spans="1:6" ht="14.25" customHeight="1">
      <c r="A50" s="5">
        <v>49</v>
      </c>
      <c r="B50" s="6" t="s">
        <v>55</v>
      </c>
      <c r="C50" s="7">
        <v>19</v>
      </c>
      <c r="D50" s="5">
        <v>166</v>
      </c>
      <c r="E50" s="8">
        <f t="shared" si="0"/>
        <v>3154</v>
      </c>
      <c r="F50" s="8">
        <f t="shared" si="1"/>
        <v>220.78000000000003</v>
      </c>
    </row>
    <row r="51" spans="1:6" ht="14.25" customHeight="1">
      <c r="A51" s="5">
        <v>50</v>
      </c>
      <c r="B51" s="6" t="s">
        <v>56</v>
      </c>
      <c r="C51" s="7">
        <v>16</v>
      </c>
      <c r="D51" s="5">
        <v>160</v>
      </c>
      <c r="E51" s="8">
        <f t="shared" si="0"/>
        <v>2560</v>
      </c>
      <c r="F51" s="8">
        <f t="shared" si="1"/>
        <v>179.20000000000002</v>
      </c>
    </row>
    <row r="52" spans="1:6" ht="14.25" customHeight="1">
      <c r="A52" s="5">
        <v>51</v>
      </c>
      <c r="B52" s="6" t="s">
        <v>57</v>
      </c>
      <c r="C52" s="7">
        <v>18</v>
      </c>
      <c r="D52" s="5">
        <v>117</v>
      </c>
      <c r="E52" s="8">
        <f t="shared" si="0"/>
        <v>2106</v>
      </c>
      <c r="F52" s="8">
        <f t="shared" si="1"/>
        <v>147.42000000000002</v>
      </c>
    </row>
    <row r="53" spans="1:6" ht="14.25" customHeight="1">
      <c r="A53" s="5">
        <v>52</v>
      </c>
      <c r="B53" s="6" t="s">
        <v>58</v>
      </c>
      <c r="C53" s="7">
        <v>11.5</v>
      </c>
      <c r="D53" s="5">
        <v>152</v>
      </c>
      <c r="E53" s="8">
        <f t="shared" si="0"/>
        <v>1748</v>
      </c>
      <c r="F53" s="8">
        <f t="shared" si="1"/>
        <v>122.36000000000001</v>
      </c>
    </row>
    <row r="54" spans="1:6" ht="14.25" customHeight="1">
      <c r="A54" s="5">
        <v>53</v>
      </c>
      <c r="B54" s="6" t="s">
        <v>59</v>
      </c>
      <c r="C54" s="7">
        <v>15.5</v>
      </c>
      <c r="D54" s="5">
        <v>129</v>
      </c>
      <c r="E54" s="8">
        <f t="shared" si="0"/>
        <v>1999.5</v>
      </c>
      <c r="F54" s="8">
        <f t="shared" si="1"/>
        <v>139.965</v>
      </c>
    </row>
    <row r="55" spans="1:6" ht="14.25" customHeight="1">
      <c r="A55" s="5">
        <v>54</v>
      </c>
      <c r="B55" s="6" t="s">
        <v>60</v>
      </c>
      <c r="C55" s="7">
        <v>15.5</v>
      </c>
      <c r="D55" s="5">
        <v>74</v>
      </c>
      <c r="E55" s="8">
        <f t="shared" si="0"/>
        <v>1147</v>
      </c>
      <c r="F55" s="8">
        <f t="shared" si="1"/>
        <v>80.290000000000006</v>
      </c>
    </row>
    <row r="56" spans="1:6" ht="14.25" customHeight="1">
      <c r="A56" s="5">
        <v>55</v>
      </c>
      <c r="B56" s="6" t="s">
        <v>61</v>
      </c>
      <c r="C56" s="7">
        <v>12</v>
      </c>
      <c r="D56" s="5">
        <v>111</v>
      </c>
      <c r="E56" s="8">
        <f t="shared" si="0"/>
        <v>1332</v>
      </c>
      <c r="F56" s="8">
        <f t="shared" si="1"/>
        <v>93.240000000000009</v>
      </c>
    </row>
    <row r="57" spans="1:6" ht="14.25" customHeight="1">
      <c r="A57" s="5">
        <v>56</v>
      </c>
      <c r="B57" s="6" t="s">
        <v>62</v>
      </c>
      <c r="C57" s="7">
        <v>15.5</v>
      </c>
      <c r="D57" s="5">
        <v>132</v>
      </c>
      <c r="E57" s="8">
        <f t="shared" si="0"/>
        <v>2046</v>
      </c>
      <c r="F57" s="8">
        <f t="shared" si="1"/>
        <v>143.22000000000003</v>
      </c>
    </row>
    <row r="58" spans="1:6" ht="14.25" customHeight="1">
      <c r="A58" s="5">
        <v>57</v>
      </c>
      <c r="B58" s="6" t="s">
        <v>63</v>
      </c>
      <c r="C58" s="7">
        <v>11.75</v>
      </c>
      <c r="D58" s="5">
        <v>168</v>
      </c>
      <c r="E58" s="8">
        <f t="shared" si="0"/>
        <v>1974</v>
      </c>
      <c r="F58" s="8">
        <f t="shared" si="1"/>
        <v>138.18</v>
      </c>
    </row>
    <row r="59" spans="1:6" ht="14.25" customHeight="1">
      <c r="A59" s="5">
        <v>58</v>
      </c>
      <c r="B59" s="6" t="s">
        <v>64</v>
      </c>
      <c r="C59" s="7">
        <v>12</v>
      </c>
      <c r="D59" s="5">
        <v>187</v>
      </c>
      <c r="E59" s="8">
        <f t="shared" si="0"/>
        <v>2244</v>
      </c>
      <c r="F59" s="8">
        <f t="shared" si="1"/>
        <v>157.08000000000001</v>
      </c>
    </row>
    <row r="60" spans="1:6" ht="14.25" customHeight="1">
      <c r="A60" s="5">
        <v>59</v>
      </c>
      <c r="B60" s="6" t="s">
        <v>65</v>
      </c>
      <c r="C60" s="7">
        <v>19</v>
      </c>
      <c r="D60" s="5">
        <v>70</v>
      </c>
      <c r="E60" s="8">
        <f t="shared" si="0"/>
        <v>1330</v>
      </c>
      <c r="F60" s="8">
        <f t="shared" si="1"/>
        <v>93.100000000000009</v>
      </c>
    </row>
    <row r="61" spans="1:6" ht="14.25" customHeight="1">
      <c r="A61" s="5">
        <v>60</v>
      </c>
      <c r="B61" s="6" t="s">
        <v>66</v>
      </c>
      <c r="C61" s="7">
        <v>17</v>
      </c>
      <c r="D61" s="5">
        <v>138</v>
      </c>
      <c r="E61" s="8">
        <f t="shared" si="0"/>
        <v>2346</v>
      </c>
      <c r="F61" s="8">
        <f t="shared" si="1"/>
        <v>164.22000000000003</v>
      </c>
    </row>
    <row r="62" spans="1:6" ht="14.25" customHeight="1">
      <c r="A62" s="5">
        <v>61</v>
      </c>
      <c r="B62" s="6" t="s">
        <v>67</v>
      </c>
      <c r="C62" s="7">
        <v>19</v>
      </c>
      <c r="D62" s="5">
        <v>72</v>
      </c>
      <c r="E62" s="8">
        <f t="shared" si="0"/>
        <v>1368</v>
      </c>
      <c r="F62" s="8">
        <f t="shared" si="1"/>
        <v>95.76</v>
      </c>
    </row>
    <row r="63" spans="1:6" ht="14.25" customHeight="1">
      <c r="A63" s="5">
        <v>62</v>
      </c>
      <c r="B63" s="6" t="s">
        <v>68</v>
      </c>
      <c r="C63" s="7">
        <v>16</v>
      </c>
      <c r="D63" s="5">
        <v>130</v>
      </c>
      <c r="E63" s="8">
        <f t="shared" si="0"/>
        <v>2080</v>
      </c>
      <c r="F63" s="8">
        <f t="shared" si="1"/>
        <v>145.60000000000002</v>
      </c>
    </row>
    <row r="64" spans="1:6" ht="14.25" customHeight="1">
      <c r="A64" s="5">
        <v>63</v>
      </c>
      <c r="B64" s="6" t="s">
        <v>69</v>
      </c>
      <c r="C64" s="7">
        <v>18</v>
      </c>
      <c r="D64" s="5">
        <v>208</v>
      </c>
      <c r="E64" s="8">
        <f t="shared" si="0"/>
        <v>3744</v>
      </c>
      <c r="F64" s="8">
        <f t="shared" si="1"/>
        <v>262.08000000000004</v>
      </c>
    </row>
    <row r="65" spans="1:6" ht="14.25" customHeight="1">
      <c r="A65" s="5">
        <v>64</v>
      </c>
      <c r="B65" s="6" t="s">
        <v>70</v>
      </c>
      <c r="C65" s="7">
        <v>11</v>
      </c>
      <c r="D65" s="5">
        <v>97</v>
      </c>
      <c r="E65" s="8">
        <f t="shared" si="0"/>
        <v>1067</v>
      </c>
      <c r="F65" s="8">
        <f t="shared" si="1"/>
        <v>74.690000000000012</v>
      </c>
    </row>
    <row r="66" spans="1:6" ht="14.25" customHeight="1">
      <c r="A66" s="5">
        <v>65</v>
      </c>
      <c r="B66" s="6" t="s">
        <v>71</v>
      </c>
      <c r="C66" s="7">
        <v>15.5</v>
      </c>
      <c r="D66" s="5">
        <v>199</v>
      </c>
      <c r="E66" s="8">
        <f t="shared" si="0"/>
        <v>3084.5</v>
      </c>
      <c r="F66" s="8">
        <f t="shared" si="1"/>
        <v>215.91500000000002</v>
      </c>
    </row>
    <row r="67" spans="1:6" ht="14.25" customHeight="1">
      <c r="A67" s="5">
        <v>66</v>
      </c>
      <c r="B67" s="6" t="s">
        <v>72</v>
      </c>
      <c r="C67" s="7">
        <v>11</v>
      </c>
      <c r="D67" s="5">
        <v>160</v>
      </c>
      <c r="E67" s="8">
        <f t="shared" si="0"/>
        <v>1760</v>
      </c>
      <c r="F67" s="8">
        <f t="shared" si="1"/>
        <v>123.20000000000002</v>
      </c>
    </row>
    <row r="68" spans="1:6" ht="14.25" customHeight="1">
      <c r="A68" s="5">
        <v>67</v>
      </c>
      <c r="B68" s="6" t="s">
        <v>73</v>
      </c>
      <c r="C68" s="7">
        <v>12</v>
      </c>
      <c r="D68" s="5">
        <v>156</v>
      </c>
      <c r="E68" s="8">
        <f t="shared" si="0"/>
        <v>1872</v>
      </c>
      <c r="F68" s="8">
        <f t="shared" si="1"/>
        <v>131.04000000000002</v>
      </c>
    </row>
    <row r="69" spans="1:6" ht="14.25" customHeight="1">
      <c r="A69" s="5">
        <v>68</v>
      </c>
      <c r="B69" s="6" t="s">
        <v>74</v>
      </c>
      <c r="C69" s="7">
        <v>15.5</v>
      </c>
      <c r="D69" s="5">
        <v>117</v>
      </c>
      <c r="E69" s="8">
        <f t="shared" si="0"/>
        <v>1813.5</v>
      </c>
      <c r="F69" s="8">
        <f t="shared" si="1"/>
        <v>126.94500000000001</v>
      </c>
    </row>
    <row r="70" spans="1:6" ht="14.25" customHeight="1">
      <c r="A70" s="5">
        <v>69</v>
      </c>
      <c r="B70" s="6" t="s">
        <v>75</v>
      </c>
      <c r="C70" s="7">
        <v>11</v>
      </c>
      <c r="D70" s="5">
        <v>76</v>
      </c>
      <c r="E70" s="8">
        <f t="shared" si="0"/>
        <v>836</v>
      </c>
      <c r="F70" s="8">
        <f t="shared" si="1"/>
        <v>58.52</v>
      </c>
    </row>
    <row r="71" spans="1:6" ht="14.25" customHeight="1">
      <c r="A71" s="5">
        <v>70</v>
      </c>
      <c r="B71" s="6" t="s">
        <v>76</v>
      </c>
      <c r="C71" s="7">
        <v>12</v>
      </c>
      <c r="D71" s="5">
        <v>175</v>
      </c>
      <c r="E71" s="8">
        <f t="shared" si="0"/>
        <v>2100</v>
      </c>
      <c r="F71" s="8">
        <f t="shared" si="1"/>
        <v>147</v>
      </c>
    </row>
    <row r="72" spans="1:6" ht="14.25" customHeight="1">
      <c r="C72" s="11" t="s">
        <v>77</v>
      </c>
      <c r="D72">
        <f>SUM(D2,D3:D71)</f>
        <v>9367</v>
      </c>
      <c r="E72" s="12">
        <f>SUM(E2,E3:E71)</f>
        <v>142794.5</v>
      </c>
      <c r="F72" s="8">
        <f>SUM(TaxesOwed)</f>
        <v>9995.6150000000034</v>
      </c>
    </row>
    <row r="73" spans="1:6" ht="14.25" customHeight="1">
      <c r="C73" s="11" t="s">
        <v>78</v>
      </c>
      <c r="D73" s="5">
        <f>AVERAGE(D2:D71)</f>
        <v>133.81428571428572</v>
      </c>
      <c r="E73" s="8">
        <f>AVERAGE(E2:E71)</f>
        <v>2039.9214285714286</v>
      </c>
      <c r="F73" s="8">
        <f>AVERAGE(TaxesOwed)</f>
        <v>142.79450000000006</v>
      </c>
    </row>
    <row r="74" spans="1:6" ht="14.25" customHeight="1">
      <c r="C74" s="11" t="s">
        <v>79</v>
      </c>
      <c r="D74" s="5">
        <f>MAX(D2:D71)</f>
        <v>208</v>
      </c>
      <c r="E74" s="8">
        <f>MAX(E2:E71)</f>
        <v>6368</v>
      </c>
      <c r="F74" s="8">
        <f>MAX(F2:F71)</f>
        <v>445.76000000000005</v>
      </c>
    </row>
    <row r="75" spans="1:6" ht="14.25" customHeight="1">
      <c r="C75" s="11" t="s">
        <v>80</v>
      </c>
      <c r="D75" s="5">
        <f>MIN(D2:D71)</f>
        <v>69</v>
      </c>
      <c r="E75" s="8">
        <f>MIN(E2:E72)</f>
        <v>836</v>
      </c>
      <c r="F75" s="8">
        <f>MIN(F2:F71)</f>
        <v>58.52</v>
      </c>
    </row>
    <row r="76" spans="1:6" ht="14.25" customHeight="1">
      <c r="A76" s="16" t="s">
        <v>81</v>
      </c>
      <c r="B76" s="17"/>
      <c r="C76" s="17"/>
      <c r="D76" s="15">
        <f>COUNT(D2:D71)</f>
        <v>70</v>
      </c>
      <c r="E76" s="8">
        <f>COUNT(E2:E71)</f>
        <v>70</v>
      </c>
      <c r="F76" s="8">
        <f>COUNT(F2:F71)</f>
        <v>70</v>
      </c>
    </row>
    <row r="77" spans="1:6" ht="14.25" customHeight="1">
      <c r="B77" s="14"/>
      <c r="C77" s="13"/>
    </row>
    <row r="78" spans="1:6" ht="14.25" customHeight="1"/>
    <row r="79" spans="1:6" ht="14.25" customHeight="1"/>
    <row r="80" spans="1:6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76:C76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/>
  <cp:revision/>
  <dcterms:created xsi:type="dcterms:W3CDTF">2022-07-03T02:12:21Z</dcterms:created>
  <dcterms:modified xsi:type="dcterms:W3CDTF">2026-02-21T20:09:51Z</dcterms:modified>
  <cp:category/>
  <cp:contentStatus/>
</cp:coreProperties>
</file>