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09f9559f6a16b6c/YouTube-DESKTOP-8UFBUA3/Tutorials/"/>
    </mc:Choice>
  </mc:AlternateContent>
  <xr:revisionPtr revIDLastSave="0" documentId="8_{D235D161-6465-1B4D-B7E5-1BDE68391490}" xr6:coauthVersionLast="47" xr6:coauthVersionMax="47" xr10:uidLastSave="{00000000-0000-0000-0000-000000000000}"/>
  <bookViews>
    <workbookView xWindow="11745" yWindow="900" windowWidth="38700" windowHeight="15345" tabRatio="808" xr2:uid="{BDA4A948-540F-4141-95A1-E98575811F66}"/>
  </bookViews>
  <sheets>
    <sheet name="Formula Fundamentals" sheetId="12" r:id="rId1"/>
    <sheet name="Tax Rate" sheetId="13" r:id="rId2"/>
    <sheet name="Order of Operations" sheetId="4" r:id="rId3"/>
    <sheet name="Basic Functions" sheetId="5" r:id="rId4"/>
    <sheet name="Conditional Functions" sheetId="6" r:id="rId5"/>
    <sheet name="Text Functions" sheetId="7" r:id="rId6"/>
    <sheet name="Logical Functions" sheetId="8" r:id="rId7"/>
    <sheet name="Lookup Functions" sheetId="9" r:id="rId8"/>
    <sheet name="Date &amp; Time" sheetId="10" r:id="rId9"/>
    <sheet name="Bonus" sheetId="11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8" l="1" a="1"/>
  <c r="E23" i="8"/>
  <c r="G3" i="9"/>
  <c r="A32" i="7"/>
  <c r="H12" i="6"/>
  <c r="G12" i="6"/>
  <c r="F12" i="6"/>
  <c r="H3" i="6"/>
  <c r="G3" i="6"/>
  <c r="A29" i="7"/>
  <c r="H11" i="6"/>
  <c r="G11" i="6"/>
  <c r="F11" i="6"/>
  <c r="H10" i="6"/>
  <c r="G10" i="6"/>
  <c r="F10" i="6"/>
  <c r="H9" i="6"/>
  <c r="G9" i="6"/>
  <c r="F9" i="6"/>
  <c r="H8" i="6"/>
  <c r="G8" i="6"/>
  <c r="F8" i="6"/>
  <c r="H7" i="6"/>
  <c r="G7" i="6"/>
  <c r="F7" i="6"/>
  <c r="C4" i="12"/>
  <c r="C5" i="12"/>
  <c r="D4" i="12"/>
  <c r="D5" i="12"/>
  <c r="C19" i="8"/>
  <c r="C15" i="8"/>
  <c r="C11" i="8"/>
  <c r="C5" i="8"/>
  <c r="C4" i="8"/>
  <c r="C3" i="8"/>
  <c r="E3" i="9"/>
  <c r="A5" i="10"/>
  <c r="A2" i="10"/>
  <c r="E12" i="5"/>
  <c r="E5" i="5"/>
  <c r="E7" i="9"/>
  <c r="C23" i="7"/>
  <c r="B23" i="7"/>
  <c r="A23" i="7"/>
  <c r="A19" i="7"/>
  <c r="A15" i="7"/>
  <c r="A11" i="7"/>
  <c r="A7" i="7"/>
  <c r="A3" i="7"/>
  <c r="F3" i="6"/>
  <c r="H2" i="6"/>
  <c r="G2" i="6"/>
  <c r="F2" i="6"/>
  <c r="E11" i="5"/>
  <c r="E10" i="5"/>
  <c r="E7" i="5"/>
  <c r="E6" i="5"/>
  <c r="E4" i="5"/>
  <c r="E3" i="5"/>
  <c r="E2" i="5"/>
  <c r="B5" i="4"/>
  <c r="E2" i="12"/>
  <c r="B9" i="12"/>
  <c r="B4" i="12"/>
  <c r="B5" i="12"/>
  <c r="E3" i="12"/>
  <c r="E4" i="12"/>
  <c r="E5" i="12"/>
  <c r="A3" i="11"/>
  <c r="B4" i="11"/>
  <c r="B3" i="11"/>
  <c r="A2" i="11"/>
  <c r="A1" i="11"/>
  <c r="B4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<sst xmlns="http://schemas.openxmlformats.org/spreadsheetml/2006/main" count="151" uniqueCount="74">
  <si>
    <t>Chocolate Chip</t>
  </si>
  <si>
    <t>Fortune</t>
  </si>
  <si>
    <t>Revenue</t>
  </si>
  <si>
    <t>Cost</t>
  </si>
  <si>
    <t>Profit</t>
  </si>
  <si>
    <t>Snickerdoodle</t>
  </si>
  <si>
    <t>Birthday Cake</t>
  </si>
  <si>
    <t>Oatmeal Raisin</t>
  </si>
  <si>
    <t>Peanut Butter</t>
  </si>
  <si>
    <t>Sugar Cookie</t>
  </si>
  <si>
    <t>Totals</t>
  </si>
  <si>
    <t>Tax Rate</t>
  </si>
  <si>
    <t>Tax</t>
  </si>
  <si>
    <t>Profit Split</t>
  </si>
  <si>
    <t>* and / evaluated first</t>
  </si>
  <si>
    <t>+ and - evaluated second</t>
  </si>
  <si>
    <t>Use parentheses to control the order</t>
  </si>
  <si>
    <t>Cookies Sold</t>
  </si>
  <si>
    <t>Cookie Name</t>
  </si>
  <si>
    <t>2nd most sold</t>
  </si>
  <si>
    <t>Most # of cookies sold</t>
  </si>
  <si>
    <t>Least # of cookies sold</t>
  </si>
  <si>
    <t>2nd least sold</t>
  </si>
  <si>
    <t>Average sold?</t>
  </si>
  <si>
    <t># of cookies with sales?</t>
  </si>
  <si>
    <t>What # occurs most frequently?</t>
  </si>
  <si>
    <t>What # is in the middle?</t>
  </si>
  <si>
    <t>Country</t>
  </si>
  <si>
    <t>United States</t>
  </si>
  <si>
    <t>India</t>
  </si>
  <si>
    <t>Philippines</t>
  </si>
  <si>
    <t>Sumif</t>
  </si>
  <si>
    <t>Averageif</t>
  </si>
  <si>
    <t>Countif</t>
  </si>
  <si>
    <t>Minifs</t>
  </si>
  <si>
    <t>Maxifs</t>
  </si>
  <si>
    <t>sumifs</t>
  </si>
  <si>
    <t>Averageifs</t>
  </si>
  <si>
    <t>Countifs</t>
  </si>
  <si>
    <t xml:space="preserve">How many cookies sold? </t>
  </si>
  <si>
    <t>kevin cookie company</t>
  </si>
  <si>
    <t>Proper</t>
  </si>
  <si>
    <t xml:space="preserve">   Kevin Cookie Company</t>
  </si>
  <si>
    <t>Trim</t>
  </si>
  <si>
    <t>Concat</t>
  </si>
  <si>
    <t>&amp;</t>
  </si>
  <si>
    <t>Text Join</t>
  </si>
  <si>
    <t>Kevin</t>
  </si>
  <si>
    <t>Cookie</t>
  </si>
  <si>
    <t>Company</t>
  </si>
  <si>
    <t>123 Main Street, 05486</t>
  </si>
  <si>
    <t>Right, Left, Mid</t>
  </si>
  <si>
    <t>Len</t>
  </si>
  <si>
    <t>Kevin Cookie Company</t>
  </si>
  <si>
    <t>Left together with find</t>
  </si>
  <si>
    <t>Find (case-sensitive) and search (not case-sensitive)</t>
  </si>
  <si>
    <t>True / False</t>
  </si>
  <si>
    <t>Mrs. Fields</t>
  </si>
  <si>
    <t>If</t>
  </si>
  <si>
    <t>Do we sell more chocolate chip or oatmeal raisin?</t>
  </si>
  <si>
    <t>Does chocolate chip sell more than oatmeal raisin or sugar?</t>
  </si>
  <si>
    <t>Does chocolate chip sell more than all other cookies?</t>
  </si>
  <si>
    <t>AND</t>
  </si>
  <si>
    <t>OR</t>
  </si>
  <si>
    <t>Nested If / Ifs</t>
  </si>
  <si>
    <t>Cookie Type</t>
  </si>
  <si>
    <t>Price</t>
  </si>
  <si>
    <t>What is the price of:</t>
  </si>
  <si>
    <t>VLOOKUP</t>
  </si>
  <si>
    <t>XLOOKUP</t>
  </si>
  <si>
    <t>Today</t>
  </si>
  <si>
    <t>Now</t>
  </si>
  <si>
    <t>sue@kevincookiecompany.com</t>
  </si>
  <si>
    <t xml:space="preserve">INDEX AND MATCH: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</si>
</sst>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onsolas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left" vertical="center" indent="1"/>
    </xf>
    <xf numFmtId="0" fontId="1" fillId="0" borderId="0" xfId="0" applyFont="1"/>
    <xf numFmtId="9" fontId="0" fillId="0" borderId="0" xfId="0" applyNumberFormat="1"/>
    <xf numFmtId="0" fontId="0" fillId="0" borderId="0" xfId="0" applyAlignment="1">
      <alignment vertical="center"/>
    </xf>
    <xf numFmtId="0" fontId="2" fillId="0" borderId="0" xfId="1" applyFill="1"/>
    <xf numFmtId="14" fontId="0" fillId="0" borderId="0" xfId="0" applyNumberFormat="1"/>
    <xf numFmtId="22" fontId="0" fillId="0" borderId="0" xfId="0" applyNumberFormat="1"/>
    <xf numFmtId="0" fontId="0" fillId="0" borderId="0" xfId="0" applyAlignment="1">
      <alignment wrapText="1"/>
    </xf>
    <xf numFmtId="166" fontId="0" fillId="0" borderId="0" xfId="0" applyNumberFormat="1"/>
    <xf numFmtId="166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0" fontId="3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sue@kevincookiecompany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B1C96-D47E-41A2-BFA9-F360F0CDD5B5}">
  <dimension ref="A1:G12"/>
  <sheetViews>
    <sheetView tabSelected="1" zoomScale="175" zoomScaleNormal="175" workbookViewId="0">
      <selection activeCell="E2" sqref="E2"/>
    </sheetView>
  </sheetViews>
  <sheetFormatPr defaultRowHeight="15" x14ac:dyDescent="0.2"/>
  <cols>
    <col min="1" max="1" width="11.1640625" customWidth="1"/>
    <col min="2" max="2" width="16.94921875" customWidth="1"/>
    <col min="3" max="3" width="16.8125" customWidth="1"/>
    <col min="4" max="4" width="12.375" bestFit="1" customWidth="1"/>
    <col min="5" max="5" width="10.22265625" customWidth="1"/>
    <col min="6" max="6" width="9.953125" customWidth="1"/>
  </cols>
  <sheetData>
    <row r="1" spans="1:7" x14ac:dyDescent="0.2">
      <c r="B1" s="2" t="s">
        <v>0</v>
      </c>
      <c r="C1" s="2" t="s">
        <v>7</v>
      </c>
      <c r="D1" s="2" t="s">
        <v>9</v>
      </c>
      <c r="E1" s="2" t="s">
        <v>10</v>
      </c>
      <c r="G1" s="2" t="s">
        <v>11</v>
      </c>
    </row>
    <row r="2" spans="1:7" x14ac:dyDescent="0.2">
      <c r="A2" s="2" t="s">
        <v>2</v>
      </c>
      <c r="B2">
        <v>10</v>
      </c>
      <c r="C2">
        <v>8</v>
      </c>
      <c r="D2">
        <v>5</v>
      </c>
      <c r="E2">
        <f>SUM(B2,C2,D2)</f>
        <v>23</v>
      </c>
      <c r="G2" s="3">
        <v>0.1</v>
      </c>
    </row>
    <row r="3" spans="1:7" x14ac:dyDescent="0.2">
      <c r="A3" s="2" t="s">
        <v>3</v>
      </c>
      <c r="B3">
        <v>4</v>
      </c>
      <c r="C3">
        <v>3</v>
      </c>
      <c r="D3">
        <v>2</v>
      </c>
      <c r="E3">
        <f>SUM(B3,C3,D3)</f>
        <v>9</v>
      </c>
    </row>
    <row r="4" spans="1:7" x14ac:dyDescent="0.2">
      <c r="A4" s="2" t="s">
        <v>4</v>
      </c>
      <c r="B4">
        <f>B2-B3</f>
        <v>6</v>
      </c>
      <c r="C4">
        <f>C2-C3</f>
        <v>5</v>
      </c>
      <c r="D4">
        <f>D2-D3</f>
        <v>3</v>
      </c>
      <c r="E4">
        <f>SUM(B4,C4,D4)</f>
        <v>14</v>
      </c>
    </row>
    <row r="5" spans="1:7" x14ac:dyDescent="0.2">
      <c r="A5" s="2" t="s">
        <v>12</v>
      </c>
      <c r="B5">
        <f>B4*G2</f>
        <v>0.60000000000000009</v>
      </c>
      <c r="C5">
        <f>C4*G2</f>
        <v>0.5</v>
      </c>
      <c r="D5">
        <f>D4*G2</f>
        <v>0.30000000000000004</v>
      </c>
      <c r="E5">
        <f>SUM(B5,C5,D5)</f>
        <v>1.4000000000000001</v>
      </c>
    </row>
    <row r="6" spans="1:7" x14ac:dyDescent="0.2">
      <c r="A6" s="2"/>
      <c r="C6" s="1"/>
    </row>
    <row r="7" spans="1:7" x14ac:dyDescent="0.2">
      <c r="C7" s="1"/>
    </row>
    <row r="8" spans="1:7" x14ac:dyDescent="0.2">
      <c r="C8" s="1"/>
    </row>
    <row r="9" spans="1:7" x14ac:dyDescent="0.2">
      <c r="A9" s="2" t="s">
        <v>13</v>
      </c>
      <c r="B9">
        <f>E2/2</f>
        <v>11.5</v>
      </c>
      <c r="C9" s="1"/>
      <c r="D9" s="6"/>
    </row>
    <row r="10" spans="1:7" x14ac:dyDescent="0.2">
      <c r="C10" s="1"/>
      <c r="D10" s="6"/>
    </row>
    <row r="11" spans="1:7" x14ac:dyDescent="0.2">
      <c r="C11" s="1"/>
    </row>
    <row r="12" spans="1:7" x14ac:dyDescent="0.2">
      <c r="C12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04990-CFAE-4B46-98D6-DE9ED6EA08FF}">
  <dimension ref="A1:A2"/>
  <sheetViews>
    <sheetView topLeftCell="A6" zoomScale="310" zoomScaleNormal="310" workbookViewId="0">
      <selection activeCell="B3" sqref="B3"/>
    </sheetView>
  </sheetViews>
  <sheetFormatPr defaultRowHeight="15" x14ac:dyDescent="0.2"/>
  <sheetData>
    <row r="1" spans="1:1" x14ac:dyDescent="0.2">
      <c r="A1" s="2" t="s">
        <v>11</v>
      </c>
    </row>
    <row r="2" spans="1:1" x14ac:dyDescent="0.2">
      <c r="A2" s="3"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E3D0C-FC6F-41A8-A93C-33504C18B680}">
  <dimension ref="A1:D9"/>
  <sheetViews>
    <sheetView zoomScale="265" zoomScaleNormal="265" workbookViewId="0">
      <selection activeCell="C15" sqref="C15"/>
    </sheetView>
  </sheetViews>
  <sheetFormatPr defaultRowHeight="15" x14ac:dyDescent="0.2"/>
  <cols>
    <col min="2" max="2" width="14.390625" bestFit="1" customWidth="1"/>
  </cols>
  <sheetData>
    <row r="1" spans="1:4" x14ac:dyDescent="0.2">
      <c r="B1" s="2" t="s">
        <v>0</v>
      </c>
      <c r="D1" s="2" t="s">
        <v>11</v>
      </c>
    </row>
    <row r="2" spans="1:4" x14ac:dyDescent="0.2">
      <c r="A2" s="2" t="s">
        <v>2</v>
      </c>
      <c r="B2">
        <v>10</v>
      </c>
      <c r="D2" s="3">
        <v>0.1</v>
      </c>
    </row>
    <row r="3" spans="1:4" x14ac:dyDescent="0.2">
      <c r="A3" s="2" t="s">
        <v>3</v>
      </c>
      <c r="B3">
        <v>4</v>
      </c>
    </row>
    <row r="4" spans="1:4" x14ac:dyDescent="0.2">
      <c r="A4" s="2" t="s">
        <v>4</v>
      </c>
      <c r="B4">
        <f>B2-B3</f>
        <v>6</v>
      </c>
    </row>
    <row r="5" spans="1:4" x14ac:dyDescent="0.2">
      <c r="A5" s="2" t="s">
        <v>12</v>
      </c>
      <c r="B5">
        <f>B4*D2</f>
        <v>0.60000000000000009</v>
      </c>
    </row>
    <row r="7" spans="1:4" x14ac:dyDescent="0.2">
      <c r="A7" s="4" t="s">
        <v>14</v>
      </c>
    </row>
    <row r="8" spans="1:4" x14ac:dyDescent="0.2">
      <c r="A8" s="4" t="s">
        <v>15</v>
      </c>
    </row>
    <row r="9" spans="1:4" x14ac:dyDescent="0.2">
      <c r="A9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E7816-1F13-4EB2-B1BF-D99034D19386}">
  <dimension ref="A1:E12"/>
  <sheetViews>
    <sheetView zoomScale="175" zoomScaleNormal="175" workbookViewId="0"/>
  </sheetViews>
  <sheetFormatPr defaultRowHeight="15" x14ac:dyDescent="0.2"/>
  <cols>
    <col min="1" max="1" width="13.71875" customWidth="1"/>
    <col min="2" max="2" width="12.23828125" bestFit="1" customWidth="1"/>
    <col min="3" max="3" width="3.09375" customWidth="1"/>
    <col min="4" max="4" width="28.25" bestFit="1" customWidth="1"/>
    <col min="5" max="5" width="11.97265625" bestFit="1" customWidth="1"/>
  </cols>
  <sheetData>
    <row r="1" spans="1:5" x14ac:dyDescent="0.2">
      <c r="A1" s="2" t="s">
        <v>18</v>
      </c>
      <c r="B1" s="2" t="s">
        <v>17</v>
      </c>
    </row>
    <row r="2" spans="1:5" x14ac:dyDescent="0.2">
      <c r="A2" t="s">
        <v>0</v>
      </c>
      <c r="B2">
        <v>97</v>
      </c>
      <c r="D2" t="s">
        <v>39</v>
      </c>
      <c r="E2">
        <f>SUM(B2:B8)</f>
        <v>421</v>
      </c>
    </row>
    <row r="3" spans="1:5" x14ac:dyDescent="0.2">
      <c r="A3" t="s">
        <v>7</v>
      </c>
      <c r="B3">
        <v>77</v>
      </c>
      <c r="D3" t="s">
        <v>20</v>
      </c>
      <c r="E3">
        <f>MAX(B2:B8)</f>
        <v>97</v>
      </c>
    </row>
    <row r="4" spans="1:5" x14ac:dyDescent="0.2">
      <c r="A4" t="s">
        <v>9</v>
      </c>
      <c r="B4">
        <v>67</v>
      </c>
      <c r="D4" t="s">
        <v>21</v>
      </c>
      <c r="E4">
        <f>MIN(B2:B8)</f>
        <v>36</v>
      </c>
    </row>
    <row r="5" spans="1:5" x14ac:dyDescent="0.2">
      <c r="A5" t="s">
        <v>5</v>
      </c>
      <c r="B5">
        <v>52</v>
      </c>
      <c r="D5" t="s">
        <v>19</v>
      </c>
      <c r="E5">
        <f>LARGE(B2:B7,2)</f>
        <v>77</v>
      </c>
    </row>
    <row r="6" spans="1:5" x14ac:dyDescent="0.2">
      <c r="A6" t="s">
        <v>6</v>
      </c>
      <c r="B6">
        <v>52</v>
      </c>
      <c r="D6" t="s">
        <v>22</v>
      </c>
      <c r="E6">
        <f>SMALL(B2:B8,2)</f>
        <v>40</v>
      </c>
    </row>
    <row r="7" spans="1:5" x14ac:dyDescent="0.2">
      <c r="A7" t="s">
        <v>8</v>
      </c>
      <c r="B7">
        <v>40</v>
      </c>
      <c r="D7" t="s">
        <v>24</v>
      </c>
      <c r="E7">
        <f>COUNT(B2:B8)</f>
        <v>7</v>
      </c>
    </row>
    <row r="8" spans="1:5" x14ac:dyDescent="0.2">
      <c r="A8" t="s">
        <v>1</v>
      </c>
      <c r="B8">
        <v>36</v>
      </c>
    </row>
    <row r="10" spans="1:5" x14ac:dyDescent="0.2">
      <c r="D10" t="s">
        <v>23</v>
      </c>
      <c r="E10" s="9">
        <f>AVERAGE(B2:B8)</f>
        <v>60.142857142857146</v>
      </c>
    </row>
    <row r="11" spans="1:5" x14ac:dyDescent="0.2">
      <c r="D11" t="s">
        <v>26</v>
      </c>
      <c r="E11">
        <f>MEDIAN(B2:B8)</f>
        <v>52</v>
      </c>
    </row>
    <row r="12" spans="1:5" x14ac:dyDescent="0.2">
      <c r="D12" t="s">
        <v>25</v>
      </c>
      <c r="E12">
        <f>MODE(B2:B8)</f>
        <v>52</v>
      </c>
    </row>
  </sheetData>
  <sortState xmlns:xlrd2="http://schemas.microsoft.com/office/spreadsheetml/2017/richdata2" ref="A2:B8">
    <sortCondition descending="1" ref="B1:B8"/>
  </sortState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872CB-F967-45A8-83C0-EF5A4DD6E9C5}">
  <dimension ref="A1:H22"/>
  <sheetViews>
    <sheetView zoomScale="130" zoomScaleNormal="130" workbookViewId="0"/>
  </sheetViews>
  <sheetFormatPr defaultRowHeight="15" x14ac:dyDescent="0.2"/>
  <cols>
    <col min="1" max="1" width="15.73828125" bestFit="1" customWidth="1"/>
    <col min="2" max="2" width="15.73828125" customWidth="1"/>
    <col min="3" max="3" width="12.23828125" bestFit="1" customWidth="1"/>
    <col min="5" max="5" width="12.375" bestFit="1" customWidth="1"/>
    <col min="6" max="6" width="36.58984375" bestFit="1" customWidth="1"/>
    <col min="7" max="7" width="9.14453125" bestFit="1" customWidth="1"/>
  </cols>
  <sheetData>
    <row r="1" spans="1:8" x14ac:dyDescent="0.2">
      <c r="A1" s="2" t="s">
        <v>18</v>
      </c>
      <c r="B1" s="2" t="s">
        <v>27</v>
      </c>
      <c r="C1" s="2" t="s">
        <v>17</v>
      </c>
    </row>
    <row r="2" spans="1:8" x14ac:dyDescent="0.2">
      <c r="A2" t="s">
        <v>0</v>
      </c>
      <c r="B2" t="s">
        <v>28</v>
      </c>
      <c r="C2">
        <v>28</v>
      </c>
      <c r="E2" t="s">
        <v>31</v>
      </c>
      <c r="F2">
        <f>SUMIF(B:B,"united states",C:C)</f>
        <v>362</v>
      </c>
      <c r="G2">
        <f>SUMIF(B:B,"india",C:C)</f>
        <v>301</v>
      </c>
      <c r="H2">
        <f>SUMIF(B:B,B16,C:C)</f>
        <v>440</v>
      </c>
    </row>
    <row r="3" spans="1:8" x14ac:dyDescent="0.2">
      <c r="A3" t="s">
        <v>7</v>
      </c>
      <c r="B3" t="s">
        <v>28</v>
      </c>
      <c r="C3">
        <v>32</v>
      </c>
      <c r="E3" t="s">
        <v>36</v>
      </c>
      <c r="F3">
        <f>SUMIFS(C:C,B:B,B2,A:A,A2)</f>
        <v>28</v>
      </c>
      <c r="G3">
        <f>SUMIFS(C:C, B:B, B4, A:A, A4)</f>
        <v>52</v>
      </c>
      <c r="H3">
        <f>SUMIFS(C:C, B:B, B5, A:A, A5)</f>
        <v>67</v>
      </c>
    </row>
    <row r="4" spans="1:8" x14ac:dyDescent="0.2">
      <c r="A4" t="s">
        <v>9</v>
      </c>
      <c r="B4" t="s">
        <v>28</v>
      </c>
      <c r="C4">
        <v>52</v>
      </c>
    </row>
    <row r="5" spans="1:8" x14ac:dyDescent="0.2">
      <c r="A5" t="s">
        <v>5</v>
      </c>
      <c r="B5" t="s">
        <v>28</v>
      </c>
      <c r="C5">
        <v>67</v>
      </c>
    </row>
    <row r="6" spans="1:8" x14ac:dyDescent="0.2">
      <c r="A6" t="s">
        <v>6</v>
      </c>
      <c r="B6" t="s">
        <v>28</v>
      </c>
      <c r="C6">
        <v>44</v>
      </c>
    </row>
    <row r="7" spans="1:8" x14ac:dyDescent="0.2">
      <c r="A7" t="s">
        <v>8</v>
      </c>
      <c r="B7" t="s">
        <v>28</v>
      </c>
      <c r="C7">
        <v>39</v>
      </c>
      <c r="E7" t="s">
        <v>32</v>
      </c>
      <c r="F7" s="10">
        <f>AVERAGEIF(B2:B22, "India", C2:C22)</f>
        <v>43</v>
      </c>
      <c r="G7" s="9">
        <f>AVERAGEIF(B2:B22, "Philippines", C2:C22)</f>
        <v>62.857142857142854</v>
      </c>
      <c r="H7" s="9">
        <f>AVERAGEIF(B2:B22, "United States", C2:C22)</f>
        <v>51.714285714285715</v>
      </c>
    </row>
    <row r="8" spans="1:8" x14ac:dyDescent="0.2">
      <c r="A8" t="s">
        <v>1</v>
      </c>
      <c r="B8" t="s">
        <v>28</v>
      </c>
      <c r="C8">
        <v>100</v>
      </c>
      <c r="E8" t="s">
        <v>37</v>
      </c>
      <c r="F8" s="11">
        <f>AVERAGEIFS(C2:C22, B2:B22, "India", A2:A22, "Chocolate Chip")</f>
        <v>75</v>
      </c>
      <c r="G8">
        <f>AVERAGEIFS(C2:C22, B2:B22, "Philippines", A2:A22, "Chocolate Chip")</f>
        <v>55</v>
      </c>
      <c r="H8">
        <f>AVERAGEIFS(C2:C22, B2:B22, "United States", A2:A22, "Chocolate Chip")</f>
        <v>28</v>
      </c>
    </row>
    <row r="9" spans="1:8" x14ac:dyDescent="0.2">
      <c r="A9" t="s">
        <v>0</v>
      </c>
      <c r="B9" t="s">
        <v>29</v>
      </c>
      <c r="C9">
        <v>75</v>
      </c>
      <c r="E9" t="s">
        <v>33</v>
      </c>
      <c r="F9">
        <f>COUNTIF(B2:B22, "India")</f>
        <v>7</v>
      </c>
      <c r="G9">
        <f>COUNTIF(B2:B22, "Philippines")</f>
        <v>7</v>
      </c>
      <c r="H9">
        <f>COUNTIF(C2:C22, "&gt;50")</f>
        <v>10</v>
      </c>
    </row>
    <row r="10" spans="1:8" x14ac:dyDescent="0.2">
      <c r="A10" t="s">
        <v>7</v>
      </c>
      <c r="B10" t="s">
        <v>29</v>
      </c>
      <c r="C10">
        <v>32</v>
      </c>
      <c r="E10" t="s">
        <v>38</v>
      </c>
      <c r="F10">
        <f>COUNTIFS(B2:B22, "India", C2:C22, "&gt;50")</f>
        <v>3</v>
      </c>
      <c r="G10">
        <f>COUNTIFS(B2:B22, "United States", C2:C22, "&gt;50")</f>
        <v>3</v>
      </c>
      <c r="H10">
        <f>COUNTIFS(A2:A22, "Fortune", B2:B22, "India")</f>
        <v>1</v>
      </c>
    </row>
    <row r="11" spans="1:8" x14ac:dyDescent="0.2">
      <c r="A11" t="s">
        <v>9</v>
      </c>
      <c r="B11" t="s">
        <v>29</v>
      </c>
      <c r="C11">
        <v>40</v>
      </c>
      <c r="E11" t="s">
        <v>34</v>
      </c>
      <c r="F11">
        <f>_xlfn.MINIFS(C2:C22, B2:B22, "India")</f>
        <v>21</v>
      </c>
      <c r="G11">
        <f>_xlfn.MINIFS(C:C,B:B, "UNITED STATES")</f>
        <v>28</v>
      </c>
      <c r="H11">
        <f>_xlfn.MINIFS(C:C,B:B,"philippines")</f>
        <v>29</v>
      </c>
    </row>
    <row r="12" spans="1:8" x14ac:dyDescent="0.2">
      <c r="A12" t="s">
        <v>5</v>
      </c>
      <c r="B12" t="s">
        <v>29</v>
      </c>
      <c r="C12">
        <v>21</v>
      </c>
      <c r="E12" t="s">
        <v>35</v>
      </c>
      <c r="F12">
        <f>_xlfn.MAXIFS(C:C, B:B, B2, A:A, A2)</f>
        <v>28</v>
      </c>
      <c r="G12">
        <f>_xlfn.MAXIFS(C:C, B:B, B15, A:A, A15)</f>
        <v>54</v>
      </c>
      <c r="H12">
        <f>_xlfn.MAXIFS(C:C, B:B, B8, A:A, A8)</f>
        <v>100</v>
      </c>
    </row>
    <row r="13" spans="1:8" x14ac:dyDescent="0.2">
      <c r="A13" t="s">
        <v>6</v>
      </c>
      <c r="B13" t="s">
        <v>29</v>
      </c>
      <c r="C13">
        <v>58</v>
      </c>
    </row>
    <row r="14" spans="1:8" x14ac:dyDescent="0.2">
      <c r="A14" t="s">
        <v>8</v>
      </c>
      <c r="B14" t="s">
        <v>29</v>
      </c>
      <c r="C14">
        <v>21</v>
      </c>
    </row>
    <row r="15" spans="1:8" x14ac:dyDescent="0.2">
      <c r="A15" t="s">
        <v>1</v>
      </c>
      <c r="B15" t="s">
        <v>29</v>
      </c>
      <c r="C15">
        <v>54</v>
      </c>
    </row>
    <row r="16" spans="1:8" x14ac:dyDescent="0.2">
      <c r="A16" t="s">
        <v>0</v>
      </c>
      <c r="B16" t="s">
        <v>30</v>
      </c>
      <c r="C16">
        <v>55</v>
      </c>
    </row>
    <row r="17" spans="1:3" x14ac:dyDescent="0.2">
      <c r="A17" t="s">
        <v>7</v>
      </c>
      <c r="B17" t="s">
        <v>30</v>
      </c>
      <c r="C17">
        <v>41</v>
      </c>
    </row>
    <row r="18" spans="1:3" x14ac:dyDescent="0.2">
      <c r="A18" t="s">
        <v>9</v>
      </c>
      <c r="B18" t="s">
        <v>30</v>
      </c>
      <c r="C18">
        <v>92</v>
      </c>
    </row>
    <row r="19" spans="1:3" x14ac:dyDescent="0.2">
      <c r="A19" t="s">
        <v>5</v>
      </c>
      <c r="B19" t="s">
        <v>30</v>
      </c>
      <c r="C19">
        <v>89</v>
      </c>
    </row>
    <row r="20" spans="1:3" x14ac:dyDescent="0.2">
      <c r="A20" t="s">
        <v>6</v>
      </c>
      <c r="B20" t="s">
        <v>30</v>
      </c>
      <c r="C20">
        <v>34</v>
      </c>
    </row>
    <row r="21" spans="1:3" x14ac:dyDescent="0.2">
      <c r="A21" t="s">
        <v>8</v>
      </c>
      <c r="B21" t="s">
        <v>30</v>
      </c>
      <c r="C21">
        <v>29</v>
      </c>
    </row>
    <row r="22" spans="1:3" x14ac:dyDescent="0.2">
      <c r="A22" t="s">
        <v>1</v>
      </c>
      <c r="B22" t="s">
        <v>30</v>
      </c>
      <c r="C22">
        <v>100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95B6F-098D-457F-B597-6B7560CF92C9}">
  <dimension ref="A1:C32"/>
  <sheetViews>
    <sheetView zoomScale="190" zoomScaleNormal="190" workbookViewId="0"/>
  </sheetViews>
  <sheetFormatPr defaultRowHeight="15" x14ac:dyDescent="0.2"/>
  <cols>
    <col min="1" max="1" width="23.13671875" customWidth="1"/>
    <col min="3" max="3" width="11.296875" bestFit="1" customWidth="1"/>
  </cols>
  <sheetData>
    <row r="1" spans="1:3" x14ac:dyDescent="0.2">
      <c r="A1" s="2" t="s">
        <v>41</v>
      </c>
    </row>
    <row r="2" spans="1:3" x14ac:dyDescent="0.2">
      <c r="A2" t="s">
        <v>40</v>
      </c>
    </row>
    <row r="3" spans="1:3" x14ac:dyDescent="0.2">
      <c r="A3" t="str">
        <f>PROPER(A2)</f>
        <v>Kevin Cookie Company</v>
      </c>
    </row>
    <row r="5" spans="1:3" x14ac:dyDescent="0.2">
      <c r="A5" s="2" t="s">
        <v>43</v>
      </c>
    </row>
    <row r="6" spans="1:3" x14ac:dyDescent="0.2">
      <c r="A6" t="s">
        <v>42</v>
      </c>
    </row>
    <row r="7" spans="1:3" x14ac:dyDescent="0.2">
      <c r="A7" t="str">
        <f>TRIM(A6)</f>
        <v>Kevin Cookie Company</v>
      </c>
    </row>
    <row r="9" spans="1:3" x14ac:dyDescent="0.2">
      <c r="A9" s="2" t="s">
        <v>44</v>
      </c>
    </row>
    <row r="10" spans="1:3" x14ac:dyDescent="0.2">
      <c r="A10" t="s">
        <v>47</v>
      </c>
      <c r="B10" t="s">
        <v>48</v>
      </c>
      <c r="C10" t="s">
        <v>49</v>
      </c>
    </row>
    <row r="11" spans="1:3" x14ac:dyDescent="0.2">
      <c r="A11" t="str">
        <f>CONCATENATE(A10," ",B10, " ",C10)</f>
        <v>Kevin Cookie Company</v>
      </c>
    </row>
    <row r="13" spans="1:3" x14ac:dyDescent="0.2">
      <c r="A13" s="2" t="s">
        <v>45</v>
      </c>
    </row>
    <row r="14" spans="1:3" x14ac:dyDescent="0.2">
      <c r="A14" t="s">
        <v>47</v>
      </c>
      <c r="B14" t="s">
        <v>48</v>
      </c>
      <c r="C14" t="s">
        <v>49</v>
      </c>
    </row>
    <row r="15" spans="1:3" x14ac:dyDescent="0.2">
      <c r="A15" s="8" t="str">
        <f>A14&amp;" "&amp;B14&amp; " "&amp;C14</f>
        <v>Kevin Cookie Company</v>
      </c>
    </row>
    <row r="17" spans="1:3" x14ac:dyDescent="0.2">
      <c r="A17" s="2" t="s">
        <v>46</v>
      </c>
    </row>
    <row r="18" spans="1:3" x14ac:dyDescent="0.2">
      <c r="A18" t="s">
        <v>47</v>
      </c>
      <c r="B18" t="s">
        <v>48</v>
      </c>
      <c r="C18" t="s">
        <v>49</v>
      </c>
    </row>
    <row r="19" spans="1:3" x14ac:dyDescent="0.2">
      <c r="A19" t="str">
        <f>_xlfn.TEXTJOIN(" ",TRUE,A18:C18)</f>
        <v>Kevin Cookie Company</v>
      </c>
    </row>
    <row r="21" spans="1:3" x14ac:dyDescent="0.2">
      <c r="A21" s="2" t="s">
        <v>51</v>
      </c>
    </row>
    <row r="22" spans="1:3" x14ac:dyDescent="0.2">
      <c r="A22" t="s">
        <v>50</v>
      </c>
    </row>
    <row r="23" spans="1:3" x14ac:dyDescent="0.2">
      <c r="A23" t="str">
        <f>RIGHT(A22,5)</f>
        <v>05486</v>
      </c>
      <c r="B23" t="str">
        <f>LEFT(A22,3)</f>
        <v>123</v>
      </c>
      <c r="C23" t="str">
        <f>MID(A22,5,11)</f>
        <v>Main Street</v>
      </c>
    </row>
    <row r="24" spans="1:3" x14ac:dyDescent="0.2">
      <c r="A24" s="2" t="s">
        <v>52</v>
      </c>
    </row>
    <row r="25" spans="1:3" x14ac:dyDescent="0.2">
      <c r="A25" t="s">
        <v>53</v>
      </c>
    </row>
    <row r="27" spans="1:3" x14ac:dyDescent="0.2">
      <c r="A27" s="2" t="s">
        <v>55</v>
      </c>
    </row>
    <row r="28" spans="1:3" x14ac:dyDescent="0.2">
      <c r="A28" s="5" t="s">
        <v>72</v>
      </c>
    </row>
    <row r="29" spans="1:3" x14ac:dyDescent="0.2">
      <c r="A29">
        <f>FIND("kevin",A28)</f>
        <v>5</v>
      </c>
    </row>
    <row r="31" spans="1:3" x14ac:dyDescent="0.2">
      <c r="A31" s="2" t="s">
        <v>54</v>
      </c>
    </row>
    <row r="32" spans="1:3" x14ac:dyDescent="0.2">
      <c r="A32" t="str">
        <f>LEFT(A28, FIND("@", A28)-1)</f>
        <v>sue</v>
      </c>
    </row>
  </sheetData>
  <hyperlinks>
    <hyperlink ref="A28" r:id="rId1" xr:uid="{384F31C9-2996-4467-BA1E-9CA444C22D4D}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5B459-13D2-4887-A11B-8FCEAEA649E8}">
  <dimension ref="A1:E24"/>
  <sheetViews>
    <sheetView zoomScale="145" zoomScaleNormal="145" workbookViewId="0"/>
  </sheetViews>
  <sheetFormatPr defaultRowHeight="15" x14ac:dyDescent="0.2"/>
  <cols>
    <col min="1" max="1" width="21.65625" bestFit="1" customWidth="1"/>
    <col min="2" max="2" width="16.41015625" customWidth="1"/>
    <col min="3" max="3" width="36.58984375" bestFit="1" customWidth="1"/>
    <col min="5" max="5" width="36.58984375" bestFit="1" customWidth="1"/>
  </cols>
  <sheetData>
    <row r="1" spans="1:3" x14ac:dyDescent="0.2">
      <c r="A1" s="2" t="s">
        <v>56</v>
      </c>
    </row>
    <row r="2" spans="1:3" x14ac:dyDescent="0.2">
      <c r="A2" t="s">
        <v>53</v>
      </c>
      <c r="B2" t="s">
        <v>57</v>
      </c>
    </row>
    <row r="3" spans="1:3" x14ac:dyDescent="0.2">
      <c r="A3">
        <v>10</v>
      </c>
      <c r="B3">
        <v>5</v>
      </c>
      <c r="C3" t="b">
        <f>A3&gt;B4</f>
        <v>0</v>
      </c>
    </row>
    <row r="4" spans="1:3" x14ac:dyDescent="0.2">
      <c r="B4">
        <v>11</v>
      </c>
      <c r="C4" t="b">
        <f>B3&gt;B4</f>
        <v>0</v>
      </c>
    </row>
    <row r="5" spans="1:3" x14ac:dyDescent="0.2">
      <c r="C5" t="b">
        <f>B4&gt;A3</f>
        <v>1</v>
      </c>
    </row>
    <row r="8" spans="1:3" x14ac:dyDescent="0.2">
      <c r="A8" s="2"/>
    </row>
    <row r="9" spans="1:3" x14ac:dyDescent="0.2">
      <c r="A9" s="2" t="s">
        <v>18</v>
      </c>
      <c r="B9" s="2" t="s">
        <v>17</v>
      </c>
      <c r="C9" s="2" t="s">
        <v>58</v>
      </c>
    </row>
    <row r="10" spans="1:3" x14ac:dyDescent="0.2">
      <c r="A10" t="s">
        <v>0</v>
      </c>
      <c r="B10">
        <v>97</v>
      </c>
      <c r="C10" t="s">
        <v>59</v>
      </c>
    </row>
    <row r="11" spans="1:3" x14ac:dyDescent="0.2">
      <c r="A11" t="s">
        <v>7</v>
      </c>
      <c r="B11">
        <v>150</v>
      </c>
      <c r="C11" t="str">
        <f>IF(B10&gt;B11,"Chocolate Chip","Oatmeal Raisin")</f>
        <v>Oatmeal Raisin</v>
      </c>
    </row>
    <row r="12" spans="1:3" x14ac:dyDescent="0.2">
      <c r="A12" t="s">
        <v>9</v>
      </c>
      <c r="B12">
        <v>150</v>
      </c>
    </row>
    <row r="13" spans="1:3" x14ac:dyDescent="0.2">
      <c r="C13" s="2" t="s">
        <v>62</v>
      </c>
    </row>
    <row r="14" spans="1:3" x14ac:dyDescent="0.2">
      <c r="C14" t="s">
        <v>61</v>
      </c>
    </row>
    <row r="15" spans="1:3" x14ac:dyDescent="0.2">
      <c r="C15" t="b">
        <f>AND(B10&gt;B11,B10&gt;B12)</f>
        <v>0</v>
      </c>
    </row>
    <row r="17" spans="1:5" x14ac:dyDescent="0.2">
      <c r="C17" s="2" t="s">
        <v>63</v>
      </c>
    </row>
    <row r="18" spans="1:5" x14ac:dyDescent="0.2">
      <c r="C18" t="s">
        <v>60</v>
      </c>
    </row>
    <row r="19" spans="1:5" x14ac:dyDescent="0.2">
      <c r="C19" t="b">
        <f>OR(B10&gt;B11,B10&gt;B12)</f>
        <v>0</v>
      </c>
    </row>
    <row r="21" spans="1:5" x14ac:dyDescent="0.2">
      <c r="A21" s="2" t="s">
        <v>65</v>
      </c>
      <c r="B21" s="2" t="s">
        <v>66</v>
      </c>
      <c r="C21" s="2" t="s">
        <v>64</v>
      </c>
    </row>
    <row r="22" spans="1:5" x14ac:dyDescent="0.2">
      <c r="A22" t="s">
        <v>0</v>
      </c>
      <c r="B22">
        <v>10</v>
      </c>
      <c r="C22" t="s">
        <v>67</v>
      </c>
      <c r="E22" s="2" t="s">
        <v>9</v>
      </c>
    </row>
    <row r="23" spans="1:5" x14ac:dyDescent="0.2">
      <c r="A23" t="s">
        <v>7</v>
      </c>
      <c r="B23">
        <v>8</v>
      </c>
      <c r="C23" s="8"/>
      <c r="E23" s="12" t="e" cm="1">
        <f t="array" ref="E23">_xlfn.IFS(B2="Chocolate Chip",10,B2="Oatmeal Raisin",8,B2="Sugar Cookie",5)</f>
        <v>#N/A</v>
      </c>
    </row>
    <row r="24" spans="1:5" x14ac:dyDescent="0.2">
      <c r="A24" t="s">
        <v>9</v>
      </c>
      <c r="B24">
        <v>5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F037D-F900-45F8-A4CC-790EE9DB30C3}">
  <dimension ref="A1:G8"/>
  <sheetViews>
    <sheetView zoomScale="145" zoomScaleNormal="145" workbookViewId="0"/>
  </sheetViews>
  <sheetFormatPr defaultRowHeight="15" x14ac:dyDescent="0.2"/>
  <cols>
    <col min="1" max="1" width="14.390625" bestFit="1" customWidth="1"/>
    <col min="3" max="3" width="11.56640625" customWidth="1"/>
    <col min="4" max="4" width="3.62890625" customWidth="1"/>
    <col min="5" max="5" width="19.1015625" bestFit="1" customWidth="1"/>
    <col min="6" max="6" width="18.83203125" bestFit="1" customWidth="1"/>
    <col min="8" max="8" width="15.87109375" bestFit="1" customWidth="1"/>
  </cols>
  <sheetData>
    <row r="1" spans="1:7" x14ac:dyDescent="0.2">
      <c r="A1" s="2" t="s">
        <v>65</v>
      </c>
      <c r="B1" s="2" t="s">
        <v>66</v>
      </c>
      <c r="C1" s="2" t="s">
        <v>3</v>
      </c>
      <c r="D1" s="2"/>
      <c r="E1" s="2" t="s">
        <v>68</v>
      </c>
    </row>
    <row r="2" spans="1:7" x14ac:dyDescent="0.2">
      <c r="A2" t="s">
        <v>0</v>
      </c>
      <c r="B2">
        <v>10</v>
      </c>
      <c r="C2">
        <v>4</v>
      </c>
      <c r="E2" t="s">
        <v>67</v>
      </c>
      <c r="F2" t="s">
        <v>9</v>
      </c>
    </row>
    <row r="3" spans="1:7" x14ac:dyDescent="0.2">
      <c r="A3" t="s">
        <v>7</v>
      </c>
      <c r="B3">
        <v>8</v>
      </c>
      <c r="C3">
        <v>3</v>
      </c>
      <c r="E3">
        <f>VLOOKUP(A4,A2:B4,2,TRUE)</f>
        <v>5</v>
      </c>
      <c r="F3" s="2" t="s">
        <v>73</v>
      </c>
      <c r="G3">
        <f>INDEX(B2:B4, MATCH(F2, A2:A4, 0))</f>
        <v>5</v>
      </c>
    </row>
    <row r="4" spans="1:7" x14ac:dyDescent="0.2">
      <c r="A4" t="s">
        <v>9</v>
      </c>
      <c r="B4">
        <v>5</v>
      </c>
      <c r="C4">
        <v>2</v>
      </c>
    </row>
    <row r="5" spans="1:7" x14ac:dyDescent="0.2">
      <c r="E5" s="2" t="s">
        <v>69</v>
      </c>
    </row>
    <row r="6" spans="1:7" x14ac:dyDescent="0.2">
      <c r="E6" t="s">
        <v>67</v>
      </c>
      <c r="F6" t="s">
        <v>0</v>
      </c>
    </row>
    <row r="7" spans="1:7" x14ac:dyDescent="0.2">
      <c r="E7">
        <f>_xlfn.XLOOKUP(A2,A2:A4,B2:B4)</f>
        <v>10</v>
      </c>
    </row>
    <row r="8" spans="1:7" x14ac:dyDescent="0.2">
      <c r="C8" s="8"/>
      <c r="E8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A0745-0719-4EE6-B49F-FDC6A9926567}">
  <dimension ref="A1:A5"/>
  <sheetViews>
    <sheetView zoomScale="250" zoomScaleNormal="250" workbookViewId="0"/>
  </sheetViews>
  <sheetFormatPr defaultRowHeight="15" x14ac:dyDescent="0.2"/>
  <cols>
    <col min="1" max="1" width="15.46875" bestFit="1" customWidth="1"/>
  </cols>
  <sheetData>
    <row r="1" spans="1:1" x14ac:dyDescent="0.2">
      <c r="A1" s="2" t="s">
        <v>70</v>
      </c>
    </row>
    <row r="2" spans="1:1" x14ac:dyDescent="0.2">
      <c r="A2" s="6">
        <f ca="1">TODAY()</f>
        <v>46089</v>
      </c>
    </row>
    <row r="4" spans="1:1" x14ac:dyDescent="0.2">
      <c r="A4" s="2" t="s">
        <v>71</v>
      </c>
    </row>
    <row r="5" spans="1:1" x14ac:dyDescent="0.2">
      <c r="A5" s="7">
        <f ca="1">NOW()</f>
        <v>46089.914904861114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52244-2217-4A67-90AC-AD0F61C3E987}">
  <dimension ref="A1:B4"/>
  <sheetViews>
    <sheetView zoomScale="325" zoomScaleNormal="325" workbookViewId="0"/>
  </sheetViews>
  <sheetFormatPr defaultRowHeight="15" x14ac:dyDescent="0.2"/>
  <sheetData>
    <row r="1" spans="1:2" x14ac:dyDescent="0.2">
      <c r="A1">
        <f>5+4</f>
        <v>9</v>
      </c>
      <c r="B1">
        <v>1</v>
      </c>
    </row>
    <row r="2" spans="1:2" x14ac:dyDescent="0.2">
      <c r="A2">
        <f>8-2</f>
        <v>6</v>
      </c>
      <c r="B2">
        <v>3</v>
      </c>
    </row>
    <row r="3" spans="1:2" x14ac:dyDescent="0.2">
      <c r="A3">
        <f>A2+B2</f>
        <v>9</v>
      </c>
      <c r="B3">
        <f>4+2</f>
        <v>6</v>
      </c>
    </row>
    <row r="4" spans="1:2" x14ac:dyDescent="0.2">
      <c r="A4">
        <v>3</v>
      </c>
      <c r="B4">
        <f>B3+A3</f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Formula Fundamentals</vt:lpstr>
      <vt:lpstr>Tax Rate</vt:lpstr>
      <vt:lpstr>Order of Operations</vt:lpstr>
      <vt:lpstr>Basic Functions</vt:lpstr>
      <vt:lpstr>Conditional Functions</vt:lpstr>
      <vt:lpstr>Text Functions</vt:lpstr>
      <vt:lpstr>Logical Functions</vt:lpstr>
      <vt:lpstr>Lookup Functions</vt:lpstr>
      <vt:lpstr>Date &amp; Time</vt:lpstr>
      <vt:lpstr>Bonus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Stratvert</dc:creator>
  <cp:lastModifiedBy>Kevin Stratvert</cp:lastModifiedBy>
  <dcterms:created xsi:type="dcterms:W3CDTF">2022-05-10T22:30:35Z</dcterms:created>
  <dcterms:modified xsi:type="dcterms:W3CDTF">2022-05-26T23:56:08Z</dcterms:modified>
</cp:coreProperties>
</file>